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Apostkef - Google Drive Portal (Synced Local)\Εργασία Υπ.Οικονομικά Κέφαλος Δίπλας\"/>
    </mc:Choice>
  </mc:AlternateContent>
  <xr:revisionPtr revIDLastSave="0" documentId="13_ncr:1_{B4DA09F0-E482-449C-8651-F273EE86A25C}" xr6:coauthVersionLast="47" xr6:coauthVersionMax="47" xr10:uidLastSave="{00000000-0000-0000-0000-000000000000}"/>
  <bookViews>
    <workbookView xWindow="-120" yWindow="-120" windowWidth="27825" windowHeight="16440" xr2:uid="{8F8B59FC-8929-428D-9E78-D5EBBED9E122}"/>
  </bookViews>
  <sheets>
    <sheet name="Gold Futures Historical Data" sheetId="2" r:id="rId1"/>
  </sheets>
  <definedNames>
    <definedName name="ExternalData_1" localSheetId="0" hidden="1">'Gold Futures Historical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02" i="2" l="1"/>
  <c r="AA402" i="2"/>
  <c r="Y402" i="2"/>
  <c r="U402" i="2" a="1"/>
  <c r="U402" i="2" s="1"/>
  <c r="X402" i="2" s="1"/>
  <c r="U432" i="2" a="1"/>
  <c r="U432" i="2" s="1"/>
  <c r="N10" i="2"/>
  <c r="N9" i="2"/>
  <c r="N8" i="2"/>
  <c r="N7" i="2"/>
  <c r="N6" i="2"/>
  <c r="N5" i="2"/>
  <c r="N4" i="2"/>
  <c r="N3" i="2"/>
  <c r="M2" i="2"/>
  <c r="L6" i="2"/>
  <c r="L5" i="2"/>
  <c r="L4" i="2"/>
  <c r="L3" i="2"/>
  <c r="L2" i="2"/>
  <c r="J9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03" i="2"/>
  <c r="V404" i="2"/>
  <c r="V402" i="2"/>
  <c r="J3" i="2"/>
  <c r="X118"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P242" i="2" s="1"/>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P455" i="2" s="1"/>
  <c r="J456" i="2"/>
  <c r="J457" i="2"/>
  <c r="J458" i="2"/>
  <c r="J459" i="2"/>
  <c r="J460" i="2"/>
  <c r="P460" i="2" s="1"/>
  <c r="J461" i="2"/>
  <c r="J462" i="2"/>
  <c r="P462" i="2" s="1"/>
  <c r="J463" i="2"/>
  <c r="J464" i="2"/>
  <c r="J465" i="2"/>
  <c r="J466" i="2"/>
  <c r="J467" i="2"/>
  <c r="J468" i="2"/>
  <c r="J469" i="2"/>
  <c r="P469" i="2" s="1"/>
  <c r="J470" i="2"/>
  <c r="J471" i="2"/>
  <c r="J472" i="2"/>
  <c r="J473" i="2"/>
  <c r="J474" i="2"/>
  <c r="J475" i="2"/>
  <c r="J476" i="2"/>
  <c r="J477" i="2"/>
  <c r="J478" i="2"/>
  <c r="J479" i="2"/>
  <c r="J480" i="2"/>
  <c r="J481" i="2"/>
  <c r="J482" i="2"/>
  <c r="J483" i="2"/>
  <c r="J484" i="2"/>
  <c r="J485" i="2"/>
  <c r="J486" i="2"/>
  <c r="J487" i="2"/>
  <c r="P487" i="2" s="1"/>
  <c r="J488" i="2"/>
  <c r="J489" i="2"/>
  <c r="J490" i="2"/>
  <c r="J491" i="2"/>
  <c r="J492" i="2"/>
  <c r="P492" i="2" s="1"/>
  <c r="J493" i="2"/>
  <c r="P493" i="2" s="1"/>
  <c r="J494" i="2"/>
  <c r="J495" i="2"/>
  <c r="J496" i="2"/>
  <c r="J497" i="2"/>
  <c r="J498" i="2"/>
  <c r="J499" i="2"/>
  <c r="J500" i="2"/>
  <c r="J501" i="2"/>
  <c r="J502" i="2"/>
  <c r="J503" i="2"/>
  <c r="J504" i="2"/>
  <c r="J505" i="2"/>
  <c r="J506" i="2"/>
  <c r="J507" i="2"/>
  <c r="P507" i="2" s="1"/>
  <c r="J508" i="2"/>
  <c r="P508" i="2" s="1"/>
  <c r="J509" i="2"/>
  <c r="J510" i="2"/>
  <c r="J511" i="2"/>
  <c r="J512" i="2"/>
  <c r="J513" i="2"/>
  <c r="P513" i="2" s="1"/>
  <c r="L164" i="2"/>
  <c r="X123" i="2"/>
  <c r="K2" i="2"/>
  <c r="E513" i="2"/>
  <c r="D513" i="2"/>
  <c r="C513" i="2"/>
  <c r="F513" i="2" s="1"/>
  <c r="P512" i="2"/>
  <c r="K512" i="2"/>
  <c r="E512" i="2"/>
  <c r="D512" i="2"/>
  <c r="C512" i="2"/>
  <c r="I512" i="2" s="1"/>
  <c r="P511" i="2"/>
  <c r="K511" i="2"/>
  <c r="E511" i="2"/>
  <c r="D511" i="2"/>
  <c r="C511" i="2"/>
  <c r="I511" i="2" s="1"/>
  <c r="P510" i="2"/>
  <c r="K510" i="2"/>
  <c r="F510" i="2"/>
  <c r="E510" i="2"/>
  <c r="D510" i="2"/>
  <c r="C510" i="2"/>
  <c r="I510" i="2" s="1"/>
  <c r="P509" i="2"/>
  <c r="K509" i="2"/>
  <c r="E509" i="2"/>
  <c r="D509" i="2"/>
  <c r="C509" i="2"/>
  <c r="K508" i="2"/>
  <c r="E508" i="2"/>
  <c r="D508" i="2"/>
  <c r="C508" i="2"/>
  <c r="I508" i="2" s="1"/>
  <c r="K507" i="2"/>
  <c r="F507" i="2"/>
  <c r="E507" i="2"/>
  <c r="D507" i="2"/>
  <c r="C507" i="2"/>
  <c r="I507" i="2" s="1"/>
  <c r="P506" i="2"/>
  <c r="K506" i="2"/>
  <c r="F506" i="2"/>
  <c r="E506" i="2"/>
  <c r="D506" i="2"/>
  <c r="C506" i="2"/>
  <c r="I506" i="2" s="1"/>
  <c r="P505" i="2"/>
  <c r="K505" i="2"/>
  <c r="E505" i="2"/>
  <c r="D505" i="2"/>
  <c r="C505" i="2"/>
  <c r="F505" i="2" s="1"/>
  <c r="P504" i="2"/>
  <c r="K504" i="2"/>
  <c r="I504" i="2"/>
  <c r="E504" i="2"/>
  <c r="D504" i="2"/>
  <c r="C504" i="2"/>
  <c r="F504" i="2" s="1"/>
  <c r="P503" i="2"/>
  <c r="K503" i="2"/>
  <c r="E503" i="2"/>
  <c r="D503" i="2"/>
  <c r="C503" i="2"/>
  <c r="I503" i="2" s="1"/>
  <c r="P502" i="2"/>
  <c r="K502" i="2"/>
  <c r="E502" i="2"/>
  <c r="D502" i="2"/>
  <c r="C502" i="2"/>
  <c r="I502" i="2" s="1"/>
  <c r="P501" i="2"/>
  <c r="K501" i="2"/>
  <c r="I501" i="2"/>
  <c r="E501" i="2"/>
  <c r="D501" i="2"/>
  <c r="C501" i="2"/>
  <c r="F501" i="2" s="1"/>
  <c r="P500" i="2"/>
  <c r="K500" i="2"/>
  <c r="E500" i="2"/>
  <c r="D500" i="2"/>
  <c r="C500" i="2"/>
  <c r="I500" i="2" s="1"/>
  <c r="P499" i="2"/>
  <c r="K499" i="2"/>
  <c r="F499" i="2"/>
  <c r="E499" i="2"/>
  <c r="D499" i="2"/>
  <c r="C499" i="2"/>
  <c r="I499" i="2" s="1"/>
  <c r="P498" i="2"/>
  <c r="K498" i="2"/>
  <c r="F498" i="2"/>
  <c r="E498" i="2"/>
  <c r="D498" i="2"/>
  <c r="C498" i="2"/>
  <c r="I498" i="2" s="1"/>
  <c r="P497" i="2"/>
  <c r="K497" i="2"/>
  <c r="E497" i="2"/>
  <c r="D497" i="2"/>
  <c r="C497" i="2"/>
  <c r="F497" i="2" s="1"/>
  <c r="P496" i="2"/>
  <c r="K496" i="2"/>
  <c r="F496" i="2"/>
  <c r="E496" i="2"/>
  <c r="D496" i="2"/>
  <c r="C496" i="2"/>
  <c r="I496" i="2" s="1"/>
  <c r="P495" i="2"/>
  <c r="K495" i="2"/>
  <c r="E495" i="2"/>
  <c r="D495" i="2"/>
  <c r="C495" i="2"/>
  <c r="I495" i="2" s="1"/>
  <c r="P494" i="2"/>
  <c r="L494" i="2"/>
  <c r="N494" i="2" s="1"/>
  <c r="K494" i="2"/>
  <c r="E494" i="2"/>
  <c r="D494" i="2"/>
  <c r="C494" i="2"/>
  <c r="I494" i="2" s="1"/>
  <c r="L493" i="2"/>
  <c r="N493" i="2" s="1"/>
  <c r="K493" i="2"/>
  <c r="E493" i="2"/>
  <c r="D493" i="2"/>
  <c r="C493" i="2"/>
  <c r="L492" i="2"/>
  <c r="K492" i="2"/>
  <c r="E492" i="2"/>
  <c r="D492" i="2"/>
  <c r="C492" i="2"/>
  <c r="I492" i="2" s="1"/>
  <c r="P491" i="2"/>
  <c r="L491" i="2"/>
  <c r="K491" i="2"/>
  <c r="F491" i="2"/>
  <c r="E491" i="2"/>
  <c r="D491" i="2"/>
  <c r="C491" i="2"/>
  <c r="I491" i="2" s="1"/>
  <c r="P490" i="2"/>
  <c r="L490" i="2"/>
  <c r="N490" i="2" s="1"/>
  <c r="K490" i="2"/>
  <c r="E490" i="2"/>
  <c r="D490" i="2"/>
  <c r="C490" i="2"/>
  <c r="F490" i="2" s="1"/>
  <c r="P489" i="2"/>
  <c r="L489" i="2"/>
  <c r="K489" i="2"/>
  <c r="E489" i="2"/>
  <c r="D489" i="2"/>
  <c r="C489" i="2"/>
  <c r="P488" i="2"/>
  <c r="L488" i="2"/>
  <c r="K488" i="2"/>
  <c r="F488" i="2"/>
  <c r="E488" i="2"/>
  <c r="D488" i="2"/>
  <c r="C488" i="2"/>
  <c r="I488" i="2" s="1"/>
  <c r="L487" i="2"/>
  <c r="N487" i="2" s="1"/>
  <c r="K487" i="2"/>
  <c r="E487" i="2"/>
  <c r="D487" i="2"/>
  <c r="C487" i="2"/>
  <c r="I487" i="2" s="1"/>
  <c r="P486" i="2"/>
  <c r="N486" i="2"/>
  <c r="L486" i="2"/>
  <c r="K486" i="2"/>
  <c r="E486" i="2"/>
  <c r="D486" i="2"/>
  <c r="C486" i="2"/>
  <c r="P485" i="2"/>
  <c r="L485" i="2"/>
  <c r="K485" i="2"/>
  <c r="E485" i="2"/>
  <c r="D485" i="2"/>
  <c r="C485" i="2"/>
  <c r="F485" i="2" s="1"/>
  <c r="P484" i="2"/>
  <c r="L484" i="2"/>
  <c r="K484" i="2"/>
  <c r="E484" i="2"/>
  <c r="D484" i="2"/>
  <c r="C484" i="2"/>
  <c r="I484" i="2" s="1"/>
  <c r="P483" i="2"/>
  <c r="L483" i="2"/>
  <c r="N483" i="2" s="1"/>
  <c r="K483" i="2"/>
  <c r="E483" i="2"/>
  <c r="D483" i="2"/>
  <c r="C483" i="2"/>
  <c r="I483" i="2" s="1"/>
  <c r="P482" i="2"/>
  <c r="L482" i="2"/>
  <c r="N482" i="2" s="1"/>
  <c r="K482" i="2"/>
  <c r="E482" i="2"/>
  <c r="D482" i="2"/>
  <c r="C482" i="2"/>
  <c r="I482" i="2" s="1"/>
  <c r="P481" i="2"/>
  <c r="L481" i="2"/>
  <c r="N481" i="2" s="1"/>
  <c r="K481" i="2"/>
  <c r="E481" i="2"/>
  <c r="D481" i="2"/>
  <c r="C481" i="2"/>
  <c r="F481" i="2" s="1"/>
  <c r="P480" i="2"/>
  <c r="L480" i="2"/>
  <c r="K480" i="2"/>
  <c r="F480" i="2"/>
  <c r="E480" i="2"/>
  <c r="D480" i="2"/>
  <c r="C480" i="2"/>
  <c r="I480" i="2" s="1"/>
  <c r="P479" i="2"/>
  <c r="L479" i="2"/>
  <c r="N479" i="2" s="1"/>
  <c r="K479" i="2"/>
  <c r="F479" i="2"/>
  <c r="E479" i="2"/>
  <c r="D479" i="2"/>
  <c r="C479" i="2"/>
  <c r="I479" i="2" s="1"/>
  <c r="P478" i="2"/>
  <c r="L478" i="2"/>
  <c r="K478" i="2"/>
  <c r="E478" i="2"/>
  <c r="D478" i="2"/>
  <c r="C478" i="2"/>
  <c r="I478" i="2" s="1"/>
  <c r="P477" i="2"/>
  <c r="L477" i="2"/>
  <c r="N477" i="2" s="1"/>
  <c r="K477" i="2"/>
  <c r="E477" i="2"/>
  <c r="D477" i="2"/>
  <c r="C477" i="2"/>
  <c r="P476" i="2"/>
  <c r="L476" i="2"/>
  <c r="K476" i="2"/>
  <c r="F476" i="2"/>
  <c r="E476" i="2"/>
  <c r="D476" i="2"/>
  <c r="C476" i="2"/>
  <c r="I476" i="2" s="1"/>
  <c r="P475" i="2"/>
  <c r="N475" i="2"/>
  <c r="L475" i="2"/>
  <c r="K475" i="2"/>
  <c r="E475" i="2"/>
  <c r="D475" i="2"/>
  <c r="C475" i="2"/>
  <c r="I475" i="2" s="1"/>
  <c r="P474" i="2"/>
  <c r="N474" i="2"/>
  <c r="L474" i="2"/>
  <c r="K474" i="2"/>
  <c r="E474" i="2"/>
  <c r="D474" i="2"/>
  <c r="C474" i="2"/>
  <c r="F474" i="2" s="1"/>
  <c r="P473" i="2"/>
  <c r="L473" i="2"/>
  <c r="K473" i="2"/>
  <c r="E473" i="2"/>
  <c r="D473" i="2"/>
  <c r="C473" i="2"/>
  <c r="F473" i="2" s="1"/>
  <c r="P472" i="2"/>
  <c r="L472" i="2"/>
  <c r="K472" i="2"/>
  <c r="E472" i="2"/>
  <c r="D472" i="2"/>
  <c r="C472" i="2"/>
  <c r="I472" i="2" s="1"/>
  <c r="P471" i="2"/>
  <c r="L471" i="2"/>
  <c r="K471" i="2"/>
  <c r="F471" i="2"/>
  <c r="E471" i="2"/>
  <c r="D471" i="2"/>
  <c r="C471" i="2"/>
  <c r="I471" i="2" s="1"/>
  <c r="P470" i="2"/>
  <c r="N470" i="2"/>
  <c r="L470" i="2"/>
  <c r="N471" i="2" s="1"/>
  <c r="K470" i="2"/>
  <c r="E470" i="2"/>
  <c r="D470" i="2"/>
  <c r="C470" i="2"/>
  <c r="I470" i="2" s="1"/>
  <c r="L469" i="2"/>
  <c r="K469" i="2"/>
  <c r="E469" i="2"/>
  <c r="D469" i="2"/>
  <c r="C469" i="2"/>
  <c r="F469" i="2" s="1"/>
  <c r="P468" i="2"/>
  <c r="L468" i="2"/>
  <c r="K468" i="2"/>
  <c r="E468" i="2"/>
  <c r="D468" i="2"/>
  <c r="C468" i="2"/>
  <c r="I468" i="2" s="1"/>
  <c r="P467" i="2"/>
  <c r="L467" i="2"/>
  <c r="N467" i="2" s="1"/>
  <c r="K467" i="2"/>
  <c r="F467" i="2"/>
  <c r="E467" i="2"/>
  <c r="D467" i="2"/>
  <c r="C467" i="2"/>
  <c r="I467" i="2" s="1"/>
  <c r="P466" i="2"/>
  <c r="L466" i="2"/>
  <c r="N466" i="2" s="1"/>
  <c r="K466" i="2"/>
  <c r="F466" i="2"/>
  <c r="E466" i="2"/>
  <c r="D466" i="2"/>
  <c r="C466" i="2"/>
  <c r="I466" i="2" s="1"/>
  <c r="P465" i="2"/>
  <c r="L465" i="2"/>
  <c r="K465" i="2"/>
  <c r="E465" i="2"/>
  <c r="D465" i="2"/>
  <c r="C465" i="2"/>
  <c r="F465" i="2" s="1"/>
  <c r="P464" i="2"/>
  <c r="M464" i="2"/>
  <c r="L464" i="2"/>
  <c r="K464" i="2"/>
  <c r="E464" i="2"/>
  <c r="D464" i="2"/>
  <c r="C464" i="2"/>
  <c r="I464" i="2" s="1"/>
  <c r="P463" i="2"/>
  <c r="M463" i="2"/>
  <c r="L463" i="2"/>
  <c r="N463" i="2" s="1"/>
  <c r="K463" i="2"/>
  <c r="I463" i="2"/>
  <c r="E463" i="2"/>
  <c r="D463" i="2"/>
  <c r="C463" i="2"/>
  <c r="F463" i="2" s="1"/>
  <c r="M462" i="2"/>
  <c r="L462" i="2"/>
  <c r="N462" i="2" s="1"/>
  <c r="K462" i="2"/>
  <c r="E462" i="2"/>
  <c r="D462" i="2"/>
  <c r="C462" i="2"/>
  <c r="I462" i="2" s="1"/>
  <c r="P461" i="2"/>
  <c r="N461" i="2"/>
  <c r="M461" i="2"/>
  <c r="L461" i="2"/>
  <c r="K461" i="2"/>
  <c r="I461" i="2"/>
  <c r="E461" i="2"/>
  <c r="D461" i="2"/>
  <c r="C461" i="2"/>
  <c r="F461" i="2" s="1"/>
  <c r="M460" i="2"/>
  <c r="L460" i="2"/>
  <c r="K460" i="2"/>
  <c r="F460" i="2"/>
  <c r="E460" i="2"/>
  <c r="D460" i="2"/>
  <c r="C460" i="2"/>
  <c r="I460" i="2" s="1"/>
  <c r="P459" i="2"/>
  <c r="M459" i="2"/>
  <c r="L459" i="2"/>
  <c r="K459" i="2"/>
  <c r="E459" i="2"/>
  <c r="D459" i="2"/>
  <c r="C459" i="2"/>
  <c r="I459" i="2" s="1"/>
  <c r="P458" i="2"/>
  <c r="M458" i="2"/>
  <c r="L458" i="2"/>
  <c r="K458" i="2"/>
  <c r="E458" i="2"/>
  <c r="D458" i="2"/>
  <c r="C458" i="2"/>
  <c r="I458" i="2" s="1"/>
  <c r="P457" i="2"/>
  <c r="N457" i="2"/>
  <c r="M457" i="2"/>
  <c r="L457" i="2"/>
  <c r="K457" i="2"/>
  <c r="E457" i="2"/>
  <c r="D457" i="2"/>
  <c r="C457" i="2"/>
  <c r="P456" i="2"/>
  <c r="M456" i="2"/>
  <c r="L456" i="2"/>
  <c r="K456" i="2"/>
  <c r="E456" i="2"/>
  <c r="D456" i="2"/>
  <c r="C456" i="2"/>
  <c r="I456" i="2" s="1"/>
  <c r="M455" i="2"/>
  <c r="L455" i="2"/>
  <c r="K455" i="2"/>
  <c r="E455" i="2"/>
  <c r="D455" i="2"/>
  <c r="C455" i="2"/>
  <c r="I455" i="2" s="1"/>
  <c r="P454" i="2"/>
  <c r="M454" i="2"/>
  <c r="L454" i="2"/>
  <c r="K454" i="2"/>
  <c r="E454" i="2"/>
  <c r="D454" i="2"/>
  <c r="C454" i="2"/>
  <c r="I454" i="2" s="1"/>
  <c r="P453" i="2"/>
  <c r="N453" i="2"/>
  <c r="M453" i="2"/>
  <c r="L453" i="2"/>
  <c r="K453" i="2"/>
  <c r="E453" i="2"/>
  <c r="D453" i="2"/>
  <c r="C453" i="2"/>
  <c r="I453" i="2" s="1"/>
  <c r="P452" i="2"/>
  <c r="M452" i="2"/>
  <c r="L452" i="2"/>
  <c r="K452" i="2"/>
  <c r="F452" i="2"/>
  <c r="E452" i="2"/>
  <c r="D452" i="2"/>
  <c r="C452" i="2"/>
  <c r="I452" i="2" s="1"/>
  <c r="P451" i="2"/>
  <c r="M451" i="2"/>
  <c r="L451" i="2"/>
  <c r="K451" i="2"/>
  <c r="E451" i="2"/>
  <c r="D451" i="2"/>
  <c r="C451" i="2"/>
  <c r="I451" i="2" s="1"/>
  <c r="P450" i="2"/>
  <c r="M450" i="2"/>
  <c r="L450" i="2"/>
  <c r="K450" i="2"/>
  <c r="E450" i="2"/>
  <c r="D450" i="2"/>
  <c r="C450" i="2"/>
  <c r="I450" i="2" s="1"/>
  <c r="P449" i="2"/>
  <c r="N449" i="2"/>
  <c r="M449" i="2"/>
  <c r="L449" i="2"/>
  <c r="K449" i="2"/>
  <c r="E449" i="2"/>
  <c r="D449" i="2"/>
  <c r="C449" i="2"/>
  <c r="I449" i="2" s="1"/>
  <c r="P448" i="2"/>
  <c r="M448" i="2"/>
  <c r="L448" i="2"/>
  <c r="K448" i="2"/>
  <c r="F448" i="2"/>
  <c r="E448" i="2"/>
  <c r="D448" i="2"/>
  <c r="C448" i="2"/>
  <c r="I448" i="2" s="1"/>
  <c r="P447" i="2"/>
  <c r="M447" i="2"/>
  <c r="L447" i="2"/>
  <c r="K447" i="2"/>
  <c r="E447" i="2"/>
  <c r="D447" i="2"/>
  <c r="C447" i="2"/>
  <c r="I447" i="2" s="1"/>
  <c r="P446" i="2"/>
  <c r="M446" i="2"/>
  <c r="L446" i="2"/>
  <c r="K446" i="2"/>
  <c r="E446" i="2"/>
  <c r="D446" i="2"/>
  <c r="C446" i="2"/>
  <c r="I446" i="2" s="1"/>
  <c r="P445" i="2"/>
  <c r="N445" i="2"/>
  <c r="M445" i="2"/>
  <c r="L445" i="2"/>
  <c r="K445" i="2"/>
  <c r="E445" i="2"/>
  <c r="D445" i="2"/>
  <c r="C445" i="2"/>
  <c r="F445" i="2" s="1"/>
  <c r="P444" i="2"/>
  <c r="M444" i="2"/>
  <c r="L444" i="2"/>
  <c r="N444" i="2" s="1"/>
  <c r="K444" i="2"/>
  <c r="E444" i="2"/>
  <c r="D444" i="2"/>
  <c r="C444" i="2"/>
  <c r="I444" i="2" s="1"/>
  <c r="P443" i="2"/>
  <c r="M443" i="2"/>
  <c r="L443" i="2"/>
  <c r="K443" i="2"/>
  <c r="E443" i="2"/>
  <c r="D443" i="2"/>
  <c r="C443" i="2"/>
  <c r="I443" i="2" s="1"/>
  <c r="P442" i="2"/>
  <c r="M442" i="2"/>
  <c r="L442" i="2"/>
  <c r="K442" i="2"/>
  <c r="F442" i="2"/>
  <c r="E442" i="2"/>
  <c r="D442" i="2"/>
  <c r="C442" i="2"/>
  <c r="I442" i="2" s="1"/>
  <c r="P441" i="2"/>
  <c r="N441" i="2"/>
  <c r="M441" i="2"/>
  <c r="L441" i="2"/>
  <c r="K441" i="2"/>
  <c r="E441" i="2"/>
  <c r="D441" i="2"/>
  <c r="C441" i="2"/>
  <c r="P440" i="2"/>
  <c r="M440" i="2"/>
  <c r="L440" i="2"/>
  <c r="K440" i="2"/>
  <c r="E440" i="2"/>
  <c r="D440" i="2"/>
  <c r="C440" i="2"/>
  <c r="I440" i="2" s="1"/>
  <c r="P439" i="2"/>
  <c r="M439" i="2"/>
  <c r="L439" i="2"/>
  <c r="K439" i="2"/>
  <c r="E439" i="2"/>
  <c r="D439" i="2"/>
  <c r="C439" i="2"/>
  <c r="I439" i="2" s="1"/>
  <c r="P438" i="2"/>
  <c r="M438" i="2"/>
  <c r="L438" i="2"/>
  <c r="K438" i="2"/>
  <c r="E438" i="2"/>
  <c r="D438" i="2"/>
  <c r="C438" i="2"/>
  <c r="I438" i="2" s="1"/>
  <c r="P437" i="2"/>
  <c r="M437" i="2"/>
  <c r="L437" i="2"/>
  <c r="N437" i="2" s="1"/>
  <c r="K437" i="2"/>
  <c r="E437" i="2"/>
  <c r="D437" i="2"/>
  <c r="C437" i="2"/>
  <c r="I437" i="2" s="1"/>
  <c r="P436" i="2"/>
  <c r="M436" i="2"/>
  <c r="L436" i="2"/>
  <c r="K436" i="2"/>
  <c r="F436" i="2"/>
  <c r="E436" i="2"/>
  <c r="D436" i="2"/>
  <c r="C436" i="2"/>
  <c r="I436" i="2" s="1"/>
  <c r="P435" i="2"/>
  <c r="M435" i="2"/>
  <c r="L435" i="2"/>
  <c r="K435" i="2"/>
  <c r="E435" i="2"/>
  <c r="D435" i="2"/>
  <c r="C435" i="2"/>
  <c r="I435" i="2" s="1"/>
  <c r="P434" i="2"/>
  <c r="M434" i="2"/>
  <c r="L434" i="2"/>
  <c r="K434" i="2"/>
  <c r="E434" i="2"/>
  <c r="D434" i="2"/>
  <c r="C434" i="2"/>
  <c r="I434" i="2" s="1"/>
  <c r="P433" i="2"/>
  <c r="M433" i="2"/>
  <c r="L433" i="2"/>
  <c r="N433" i="2" s="1"/>
  <c r="K433" i="2"/>
  <c r="E433" i="2"/>
  <c r="D433" i="2"/>
  <c r="C433" i="2"/>
  <c r="I433" i="2" s="1"/>
  <c r="P432" i="2"/>
  <c r="M432" i="2"/>
  <c r="L432" i="2"/>
  <c r="K432" i="2"/>
  <c r="F432" i="2"/>
  <c r="E432" i="2"/>
  <c r="D432" i="2"/>
  <c r="C432" i="2"/>
  <c r="I432" i="2" s="1"/>
  <c r="P431" i="2"/>
  <c r="M431" i="2"/>
  <c r="L431" i="2"/>
  <c r="K431" i="2"/>
  <c r="F431" i="2"/>
  <c r="E431" i="2"/>
  <c r="D431" i="2"/>
  <c r="C431" i="2"/>
  <c r="I431" i="2" s="1"/>
  <c r="P430" i="2"/>
  <c r="M430" i="2"/>
  <c r="L430" i="2"/>
  <c r="K430" i="2"/>
  <c r="F430" i="2"/>
  <c r="E430" i="2"/>
  <c r="D430" i="2"/>
  <c r="C430" i="2"/>
  <c r="I430" i="2" s="1"/>
  <c r="P429" i="2"/>
  <c r="M429" i="2"/>
  <c r="L429" i="2"/>
  <c r="K429" i="2"/>
  <c r="E429" i="2"/>
  <c r="D429" i="2"/>
  <c r="C429" i="2"/>
  <c r="I429" i="2" s="1"/>
  <c r="P428" i="2"/>
  <c r="N428" i="2"/>
  <c r="M428" i="2"/>
  <c r="L428" i="2"/>
  <c r="K428" i="2"/>
  <c r="E428" i="2"/>
  <c r="D428" i="2"/>
  <c r="C428" i="2"/>
  <c r="I428" i="2" s="1"/>
  <c r="P427" i="2"/>
  <c r="M427" i="2"/>
  <c r="L427" i="2"/>
  <c r="N427" i="2" s="1"/>
  <c r="K427" i="2"/>
  <c r="F427" i="2"/>
  <c r="E427" i="2"/>
  <c r="D427" i="2"/>
  <c r="C427" i="2"/>
  <c r="I427" i="2" s="1"/>
  <c r="P426" i="2"/>
  <c r="M426" i="2"/>
  <c r="L426" i="2"/>
  <c r="K426" i="2"/>
  <c r="E426" i="2"/>
  <c r="D426" i="2"/>
  <c r="C426" i="2"/>
  <c r="F426" i="2" s="1"/>
  <c r="P425" i="2"/>
  <c r="M425" i="2"/>
  <c r="L425" i="2"/>
  <c r="N425" i="2" s="1"/>
  <c r="K425" i="2"/>
  <c r="E425" i="2"/>
  <c r="D425" i="2"/>
  <c r="C425" i="2"/>
  <c r="I425" i="2" s="1"/>
  <c r="P424" i="2"/>
  <c r="M424" i="2"/>
  <c r="L424" i="2"/>
  <c r="K424" i="2"/>
  <c r="E424" i="2"/>
  <c r="D424" i="2"/>
  <c r="C424" i="2"/>
  <c r="F424" i="2" s="1"/>
  <c r="P423" i="2"/>
  <c r="M423" i="2"/>
  <c r="L423" i="2"/>
  <c r="N423" i="2" s="1"/>
  <c r="K423" i="2"/>
  <c r="E423" i="2"/>
  <c r="D423" i="2"/>
  <c r="C423" i="2"/>
  <c r="I423" i="2" s="1"/>
  <c r="P422" i="2"/>
  <c r="M422" i="2"/>
  <c r="L422" i="2"/>
  <c r="K422" i="2"/>
  <c r="F422" i="2"/>
  <c r="E422" i="2"/>
  <c r="D422" i="2"/>
  <c r="C422" i="2"/>
  <c r="I422" i="2" s="1"/>
  <c r="P421" i="2"/>
  <c r="M421" i="2"/>
  <c r="L421" i="2"/>
  <c r="K421" i="2"/>
  <c r="E421" i="2"/>
  <c r="D421" i="2"/>
  <c r="C421" i="2"/>
  <c r="I421" i="2" s="1"/>
  <c r="P420" i="2"/>
  <c r="M420" i="2"/>
  <c r="L420" i="2"/>
  <c r="K420" i="2"/>
  <c r="E420" i="2"/>
  <c r="D420" i="2"/>
  <c r="C420" i="2"/>
  <c r="F420" i="2" s="1"/>
  <c r="P419" i="2"/>
  <c r="M419" i="2"/>
  <c r="L419" i="2"/>
  <c r="N419" i="2" s="1"/>
  <c r="K419" i="2"/>
  <c r="E419" i="2"/>
  <c r="D419" i="2"/>
  <c r="C419" i="2"/>
  <c r="F419" i="2" s="1"/>
  <c r="P418" i="2"/>
  <c r="M418" i="2"/>
  <c r="L418" i="2"/>
  <c r="K418" i="2"/>
  <c r="E418" i="2"/>
  <c r="D418" i="2"/>
  <c r="C418" i="2"/>
  <c r="P417" i="2"/>
  <c r="M417" i="2"/>
  <c r="L417" i="2"/>
  <c r="K417" i="2"/>
  <c r="E417" i="2"/>
  <c r="D417" i="2"/>
  <c r="C417" i="2"/>
  <c r="I417" i="2" s="1"/>
  <c r="P416" i="2"/>
  <c r="M416" i="2"/>
  <c r="L416" i="2"/>
  <c r="N416" i="2" s="1"/>
  <c r="K416" i="2"/>
  <c r="E416" i="2"/>
  <c r="D416" i="2"/>
  <c r="C416" i="2"/>
  <c r="I416" i="2" s="1"/>
  <c r="P415" i="2"/>
  <c r="M415" i="2"/>
  <c r="L415" i="2"/>
  <c r="K415" i="2"/>
  <c r="F415" i="2"/>
  <c r="E415" i="2"/>
  <c r="D415" i="2"/>
  <c r="C415" i="2"/>
  <c r="I415" i="2" s="1"/>
  <c r="P414" i="2"/>
  <c r="M414" i="2"/>
  <c r="L414" i="2"/>
  <c r="N414" i="2" s="1"/>
  <c r="K414" i="2"/>
  <c r="E414" i="2"/>
  <c r="D414" i="2"/>
  <c r="C414" i="2"/>
  <c r="P413" i="2"/>
  <c r="M413" i="2"/>
  <c r="L413" i="2"/>
  <c r="N413" i="2" s="1"/>
  <c r="K413" i="2"/>
  <c r="F413" i="2"/>
  <c r="E413" i="2"/>
  <c r="D413" i="2"/>
  <c r="C413" i="2"/>
  <c r="I413" i="2" s="1"/>
  <c r="P412" i="2"/>
  <c r="M412" i="2"/>
  <c r="L412" i="2"/>
  <c r="K412" i="2"/>
  <c r="E412" i="2"/>
  <c r="D412" i="2"/>
  <c r="C412" i="2"/>
  <c r="I412" i="2" s="1"/>
  <c r="P411" i="2"/>
  <c r="M411" i="2"/>
  <c r="L411" i="2"/>
  <c r="K411" i="2"/>
  <c r="F411" i="2"/>
  <c r="E411" i="2"/>
  <c r="D411" i="2"/>
  <c r="C411" i="2"/>
  <c r="I411" i="2" s="1"/>
  <c r="P410" i="2"/>
  <c r="M410" i="2"/>
  <c r="L410" i="2"/>
  <c r="K410" i="2"/>
  <c r="E410" i="2"/>
  <c r="D410" i="2"/>
  <c r="C410" i="2"/>
  <c r="I410" i="2" s="1"/>
  <c r="P409" i="2"/>
  <c r="M409" i="2"/>
  <c r="L409" i="2"/>
  <c r="K409" i="2"/>
  <c r="F409" i="2"/>
  <c r="E409" i="2"/>
  <c r="D409" i="2"/>
  <c r="C409" i="2"/>
  <c r="I409" i="2" s="1"/>
  <c r="P408" i="2"/>
  <c r="M408" i="2"/>
  <c r="L408" i="2"/>
  <c r="N408" i="2" s="1"/>
  <c r="K408" i="2"/>
  <c r="E408" i="2"/>
  <c r="D408" i="2"/>
  <c r="C408" i="2"/>
  <c r="I408" i="2" s="1"/>
  <c r="P407" i="2"/>
  <c r="M407" i="2"/>
  <c r="L407" i="2"/>
  <c r="K407" i="2"/>
  <c r="F407" i="2"/>
  <c r="E407" i="2"/>
  <c r="D407" i="2"/>
  <c r="C407" i="2"/>
  <c r="I407" i="2" s="1"/>
  <c r="P406" i="2"/>
  <c r="M406" i="2"/>
  <c r="L406" i="2"/>
  <c r="N406" i="2" s="1"/>
  <c r="K406" i="2"/>
  <c r="E406" i="2"/>
  <c r="D406" i="2"/>
  <c r="C406" i="2"/>
  <c r="F406" i="2" s="1"/>
  <c r="P405" i="2"/>
  <c r="M405" i="2"/>
  <c r="L405" i="2"/>
  <c r="N405" i="2" s="1"/>
  <c r="K405" i="2"/>
  <c r="F405" i="2"/>
  <c r="E405" i="2"/>
  <c r="D405" i="2"/>
  <c r="C405" i="2"/>
  <c r="I405" i="2" s="1"/>
  <c r="P404" i="2"/>
  <c r="M404" i="2"/>
  <c r="L404" i="2"/>
  <c r="K404" i="2"/>
  <c r="E404" i="2"/>
  <c r="D404" i="2"/>
  <c r="C404" i="2"/>
  <c r="I404" i="2" s="1"/>
  <c r="P403" i="2"/>
  <c r="M403" i="2"/>
  <c r="L403" i="2"/>
  <c r="K403" i="2"/>
  <c r="F403" i="2"/>
  <c r="E403" i="2"/>
  <c r="D403" i="2"/>
  <c r="C403" i="2"/>
  <c r="I403" i="2" s="1"/>
  <c r="P402" i="2"/>
  <c r="M402" i="2"/>
  <c r="L402" i="2"/>
  <c r="K402" i="2"/>
  <c r="E402" i="2"/>
  <c r="D402" i="2"/>
  <c r="C402" i="2"/>
  <c r="I402" i="2" s="1"/>
  <c r="P401" i="2"/>
  <c r="M401" i="2"/>
  <c r="L401" i="2"/>
  <c r="K401" i="2"/>
  <c r="E401" i="2"/>
  <c r="D401" i="2"/>
  <c r="C401" i="2"/>
  <c r="F401" i="2" s="1"/>
  <c r="P400" i="2"/>
  <c r="M400" i="2"/>
  <c r="L400" i="2"/>
  <c r="K400" i="2"/>
  <c r="F400" i="2"/>
  <c r="E400" i="2"/>
  <c r="D400" i="2"/>
  <c r="C400" i="2"/>
  <c r="I400" i="2" s="1"/>
  <c r="P399" i="2"/>
  <c r="M399" i="2"/>
  <c r="L399" i="2"/>
  <c r="N399" i="2" s="1"/>
  <c r="K399" i="2"/>
  <c r="I399" i="2"/>
  <c r="E399" i="2"/>
  <c r="D399" i="2"/>
  <c r="C399" i="2"/>
  <c r="F399" i="2" s="1"/>
  <c r="P398" i="2"/>
  <c r="M398" i="2"/>
  <c r="L398" i="2"/>
  <c r="K398" i="2"/>
  <c r="E398" i="2"/>
  <c r="D398" i="2"/>
  <c r="C398" i="2"/>
  <c r="I398" i="2" s="1"/>
  <c r="P397" i="2"/>
  <c r="M397" i="2"/>
  <c r="L397" i="2"/>
  <c r="N397" i="2" s="1"/>
  <c r="K397" i="2"/>
  <c r="E397" i="2"/>
  <c r="D397" i="2"/>
  <c r="C397" i="2"/>
  <c r="F397" i="2" s="1"/>
  <c r="P396" i="2"/>
  <c r="M396" i="2"/>
  <c r="L396" i="2"/>
  <c r="N396" i="2" s="1"/>
  <c r="K396" i="2"/>
  <c r="E396" i="2"/>
  <c r="D396" i="2"/>
  <c r="C396" i="2"/>
  <c r="I396" i="2" s="1"/>
  <c r="P395" i="2"/>
  <c r="M395" i="2"/>
  <c r="L395" i="2"/>
  <c r="K395" i="2"/>
  <c r="E395" i="2"/>
  <c r="D395" i="2"/>
  <c r="C395" i="2"/>
  <c r="P394" i="2"/>
  <c r="M394" i="2"/>
  <c r="L394" i="2"/>
  <c r="K394" i="2"/>
  <c r="F394" i="2"/>
  <c r="E394" i="2"/>
  <c r="D394" i="2"/>
  <c r="C394" i="2"/>
  <c r="I394" i="2" s="1"/>
  <c r="P393" i="2"/>
  <c r="M393" i="2"/>
  <c r="L393" i="2"/>
  <c r="K393" i="2"/>
  <c r="E393" i="2"/>
  <c r="D393" i="2"/>
  <c r="C393" i="2"/>
  <c r="F393" i="2" s="1"/>
  <c r="P392" i="2"/>
  <c r="M392" i="2"/>
  <c r="L392" i="2"/>
  <c r="K392" i="2"/>
  <c r="F392" i="2"/>
  <c r="E392" i="2"/>
  <c r="D392" i="2"/>
  <c r="C392" i="2"/>
  <c r="I392" i="2" s="1"/>
  <c r="P391" i="2"/>
  <c r="M391" i="2"/>
  <c r="L391" i="2"/>
  <c r="N391" i="2" s="1"/>
  <c r="K391" i="2"/>
  <c r="E391" i="2"/>
  <c r="D391" i="2"/>
  <c r="C391" i="2"/>
  <c r="F391" i="2" s="1"/>
  <c r="P390" i="2"/>
  <c r="M390" i="2"/>
  <c r="L390" i="2"/>
  <c r="K390" i="2"/>
  <c r="F390" i="2"/>
  <c r="E390" i="2"/>
  <c r="D390" i="2"/>
  <c r="C390" i="2"/>
  <c r="I390" i="2" s="1"/>
  <c r="P389" i="2"/>
  <c r="M389" i="2"/>
  <c r="L389" i="2"/>
  <c r="K389" i="2"/>
  <c r="E389" i="2"/>
  <c r="D389" i="2"/>
  <c r="C389" i="2"/>
  <c r="I389" i="2" s="1"/>
  <c r="P388" i="2"/>
  <c r="M388" i="2"/>
  <c r="L388" i="2"/>
  <c r="K388" i="2"/>
  <c r="F388" i="2"/>
  <c r="E388" i="2"/>
  <c r="D388" i="2"/>
  <c r="C388" i="2"/>
  <c r="I388" i="2" s="1"/>
  <c r="P387" i="2"/>
  <c r="M387" i="2"/>
  <c r="L387" i="2"/>
  <c r="N387" i="2" s="1"/>
  <c r="K387" i="2"/>
  <c r="E387" i="2"/>
  <c r="D387" i="2"/>
  <c r="C387" i="2"/>
  <c r="F387" i="2" s="1"/>
  <c r="P386" i="2"/>
  <c r="M386" i="2"/>
  <c r="L386" i="2"/>
  <c r="K386" i="2"/>
  <c r="E386" i="2"/>
  <c r="D386" i="2"/>
  <c r="C386" i="2"/>
  <c r="I386" i="2" s="1"/>
  <c r="P385" i="2"/>
  <c r="M385" i="2"/>
  <c r="L385" i="2"/>
  <c r="K385" i="2"/>
  <c r="E385" i="2"/>
  <c r="D385" i="2"/>
  <c r="C385" i="2"/>
  <c r="I385" i="2" s="1"/>
  <c r="P384" i="2"/>
  <c r="M384" i="2"/>
  <c r="L384" i="2"/>
  <c r="K384" i="2"/>
  <c r="F384" i="2"/>
  <c r="E384" i="2"/>
  <c r="D384" i="2"/>
  <c r="C384" i="2"/>
  <c r="I384" i="2" s="1"/>
  <c r="P383" i="2"/>
  <c r="M383" i="2"/>
  <c r="L383" i="2"/>
  <c r="N383" i="2" s="1"/>
  <c r="K383" i="2"/>
  <c r="E383" i="2"/>
  <c r="D383" i="2"/>
  <c r="C383" i="2"/>
  <c r="I383" i="2" s="1"/>
  <c r="P382" i="2"/>
  <c r="M382" i="2"/>
  <c r="L382" i="2"/>
  <c r="K382" i="2"/>
  <c r="F382" i="2"/>
  <c r="E382" i="2"/>
  <c r="D382" i="2"/>
  <c r="C382" i="2"/>
  <c r="I382" i="2" s="1"/>
  <c r="P381" i="2"/>
  <c r="M381" i="2"/>
  <c r="L381" i="2"/>
  <c r="K381" i="2"/>
  <c r="E381" i="2"/>
  <c r="D381" i="2"/>
  <c r="C381" i="2"/>
  <c r="I381" i="2" s="1"/>
  <c r="P380" i="2"/>
  <c r="M380" i="2"/>
  <c r="L380" i="2"/>
  <c r="K380" i="2"/>
  <c r="F380" i="2"/>
  <c r="E380" i="2"/>
  <c r="D380" i="2"/>
  <c r="C380" i="2"/>
  <c r="I380" i="2" s="1"/>
  <c r="P379" i="2"/>
  <c r="N379" i="2"/>
  <c r="M379" i="2"/>
  <c r="L379" i="2"/>
  <c r="K379" i="2"/>
  <c r="E379" i="2"/>
  <c r="D379" i="2"/>
  <c r="C379" i="2"/>
  <c r="I379" i="2" s="1"/>
  <c r="P378" i="2"/>
  <c r="M378" i="2"/>
  <c r="L378" i="2"/>
  <c r="K378" i="2"/>
  <c r="F378" i="2"/>
  <c r="E378" i="2"/>
  <c r="D378" i="2"/>
  <c r="C378" i="2"/>
  <c r="I378" i="2" s="1"/>
  <c r="P377" i="2"/>
  <c r="M377" i="2"/>
  <c r="L377" i="2"/>
  <c r="K377" i="2"/>
  <c r="E377" i="2"/>
  <c r="D377" i="2"/>
  <c r="C377" i="2"/>
  <c r="I377" i="2" s="1"/>
  <c r="P376" i="2"/>
  <c r="M376" i="2"/>
  <c r="L376" i="2"/>
  <c r="K376" i="2"/>
  <c r="F376" i="2"/>
  <c r="E376" i="2"/>
  <c r="D376" i="2"/>
  <c r="C376" i="2"/>
  <c r="I376" i="2" s="1"/>
  <c r="P375" i="2"/>
  <c r="N375" i="2"/>
  <c r="M375" i="2"/>
  <c r="L375" i="2"/>
  <c r="K375" i="2"/>
  <c r="E375" i="2"/>
  <c r="D375" i="2"/>
  <c r="C375" i="2"/>
  <c r="I375" i="2" s="1"/>
  <c r="P374" i="2"/>
  <c r="M374" i="2"/>
  <c r="L374" i="2"/>
  <c r="K374" i="2"/>
  <c r="E374" i="2"/>
  <c r="D374" i="2"/>
  <c r="C374" i="2"/>
  <c r="I374" i="2" s="1"/>
  <c r="P373" i="2"/>
  <c r="M373" i="2"/>
  <c r="L373" i="2"/>
  <c r="K373" i="2"/>
  <c r="E373" i="2"/>
  <c r="D373" i="2"/>
  <c r="C373" i="2"/>
  <c r="I373" i="2" s="1"/>
  <c r="P372" i="2"/>
  <c r="M372" i="2"/>
  <c r="L372" i="2"/>
  <c r="K372" i="2"/>
  <c r="E372" i="2"/>
  <c r="D372" i="2"/>
  <c r="C372" i="2"/>
  <c r="I372" i="2" s="1"/>
  <c r="P371" i="2"/>
  <c r="M371" i="2"/>
  <c r="L371" i="2"/>
  <c r="N371" i="2" s="1"/>
  <c r="K371" i="2"/>
  <c r="E371" i="2"/>
  <c r="D371" i="2"/>
  <c r="C371" i="2"/>
  <c r="F371" i="2" s="1"/>
  <c r="P370" i="2"/>
  <c r="M370" i="2"/>
  <c r="L370" i="2"/>
  <c r="N370" i="2" s="1"/>
  <c r="K370" i="2"/>
  <c r="E370" i="2"/>
  <c r="D370" i="2"/>
  <c r="C370" i="2"/>
  <c r="I370" i="2" s="1"/>
  <c r="P369" i="2"/>
  <c r="M369" i="2"/>
  <c r="L369" i="2"/>
  <c r="K369" i="2"/>
  <c r="E369" i="2"/>
  <c r="D369" i="2"/>
  <c r="C369" i="2"/>
  <c r="I369" i="2" s="1"/>
  <c r="P368" i="2"/>
  <c r="M368" i="2"/>
  <c r="L368" i="2"/>
  <c r="K368" i="2"/>
  <c r="F368" i="2"/>
  <c r="E368" i="2"/>
  <c r="D368" i="2"/>
  <c r="C368" i="2"/>
  <c r="I368" i="2" s="1"/>
  <c r="P367" i="2"/>
  <c r="M367" i="2"/>
  <c r="L367" i="2"/>
  <c r="N367" i="2" s="1"/>
  <c r="K367" i="2"/>
  <c r="E367" i="2"/>
  <c r="D367" i="2"/>
  <c r="C367" i="2"/>
  <c r="I367" i="2" s="1"/>
  <c r="P366" i="2"/>
  <c r="M366" i="2"/>
  <c r="L366" i="2"/>
  <c r="N366" i="2" s="1"/>
  <c r="K366" i="2"/>
  <c r="E366" i="2"/>
  <c r="D366" i="2"/>
  <c r="C366" i="2"/>
  <c r="I366" i="2" s="1"/>
  <c r="P365" i="2"/>
  <c r="M365" i="2"/>
  <c r="L365" i="2"/>
  <c r="K365" i="2"/>
  <c r="E365" i="2"/>
  <c r="D365" i="2"/>
  <c r="C365" i="2"/>
  <c r="I365" i="2" s="1"/>
  <c r="P364" i="2"/>
  <c r="M364" i="2"/>
  <c r="L364" i="2"/>
  <c r="K364" i="2"/>
  <c r="E364" i="2"/>
  <c r="D364" i="2"/>
  <c r="C364" i="2"/>
  <c r="I364" i="2" s="1"/>
  <c r="P363" i="2"/>
  <c r="M363" i="2"/>
  <c r="L363" i="2"/>
  <c r="K363" i="2"/>
  <c r="E363" i="2"/>
  <c r="D363" i="2"/>
  <c r="C363" i="2"/>
  <c r="I363" i="2" s="1"/>
  <c r="P362" i="2"/>
  <c r="M362" i="2"/>
  <c r="L362" i="2"/>
  <c r="N362" i="2" s="1"/>
  <c r="K362" i="2"/>
  <c r="E362" i="2"/>
  <c r="D362" i="2"/>
  <c r="C362" i="2"/>
  <c r="I362" i="2" s="1"/>
  <c r="P361" i="2"/>
  <c r="M361" i="2"/>
  <c r="L361" i="2"/>
  <c r="K361" i="2"/>
  <c r="E361" i="2"/>
  <c r="D361" i="2"/>
  <c r="C361" i="2"/>
  <c r="I361" i="2" s="1"/>
  <c r="P360" i="2"/>
  <c r="M360" i="2"/>
  <c r="L360" i="2"/>
  <c r="K360" i="2"/>
  <c r="E360" i="2"/>
  <c r="D360" i="2"/>
  <c r="C360" i="2"/>
  <c r="I360" i="2" s="1"/>
  <c r="P359" i="2"/>
  <c r="N359" i="2"/>
  <c r="M359" i="2"/>
  <c r="L359" i="2"/>
  <c r="K359" i="2"/>
  <c r="E359" i="2"/>
  <c r="D359" i="2"/>
  <c r="C359" i="2"/>
  <c r="I359" i="2" s="1"/>
  <c r="P358" i="2"/>
  <c r="M358" i="2"/>
  <c r="L358" i="2"/>
  <c r="K358" i="2"/>
  <c r="F358" i="2"/>
  <c r="E358" i="2"/>
  <c r="D358" i="2"/>
  <c r="C358" i="2"/>
  <c r="I358" i="2" s="1"/>
  <c r="P357" i="2"/>
  <c r="M357" i="2"/>
  <c r="L357" i="2"/>
  <c r="K357" i="2"/>
  <c r="E357" i="2"/>
  <c r="D357" i="2"/>
  <c r="C357" i="2"/>
  <c r="I357" i="2" s="1"/>
  <c r="P356" i="2"/>
  <c r="M356" i="2"/>
  <c r="L356" i="2"/>
  <c r="K356" i="2"/>
  <c r="F356" i="2"/>
  <c r="E356" i="2"/>
  <c r="D356" i="2"/>
  <c r="C356" i="2"/>
  <c r="I356" i="2" s="1"/>
  <c r="P355" i="2"/>
  <c r="M355" i="2"/>
  <c r="L355" i="2"/>
  <c r="N355" i="2" s="1"/>
  <c r="K355" i="2"/>
  <c r="I355" i="2"/>
  <c r="E355" i="2"/>
  <c r="D355" i="2"/>
  <c r="C355" i="2"/>
  <c r="F355" i="2" s="1"/>
  <c r="P354" i="2"/>
  <c r="M354" i="2"/>
  <c r="L354" i="2"/>
  <c r="K354" i="2"/>
  <c r="F354" i="2"/>
  <c r="E354" i="2"/>
  <c r="D354" i="2"/>
  <c r="C354" i="2"/>
  <c r="I354" i="2" s="1"/>
  <c r="P353" i="2"/>
  <c r="M353" i="2"/>
  <c r="L353" i="2"/>
  <c r="K353" i="2"/>
  <c r="E353" i="2"/>
  <c r="D353" i="2"/>
  <c r="C353" i="2"/>
  <c r="I353" i="2" s="1"/>
  <c r="P352" i="2"/>
  <c r="M352" i="2"/>
  <c r="L352" i="2"/>
  <c r="K352" i="2"/>
  <c r="F352" i="2"/>
  <c r="E352" i="2"/>
  <c r="D352" i="2"/>
  <c r="C352" i="2"/>
  <c r="I352" i="2" s="1"/>
  <c r="P351" i="2"/>
  <c r="M351" i="2"/>
  <c r="L351" i="2"/>
  <c r="N351" i="2" s="1"/>
  <c r="K351" i="2"/>
  <c r="E351" i="2"/>
  <c r="D351" i="2"/>
  <c r="C351" i="2"/>
  <c r="I351" i="2" s="1"/>
  <c r="P350" i="2"/>
  <c r="M350" i="2"/>
  <c r="L350" i="2"/>
  <c r="K350" i="2"/>
  <c r="F350" i="2"/>
  <c r="E350" i="2"/>
  <c r="D350" i="2"/>
  <c r="C350" i="2"/>
  <c r="I350" i="2" s="1"/>
  <c r="P349" i="2"/>
  <c r="M349" i="2"/>
  <c r="L349" i="2"/>
  <c r="K349" i="2"/>
  <c r="E349" i="2"/>
  <c r="D349" i="2"/>
  <c r="C349" i="2"/>
  <c r="I349" i="2" s="1"/>
  <c r="P348" i="2"/>
  <c r="M348" i="2"/>
  <c r="L348" i="2"/>
  <c r="K348" i="2"/>
  <c r="F348" i="2"/>
  <c r="E348" i="2"/>
  <c r="D348" i="2"/>
  <c r="C348" i="2"/>
  <c r="I348" i="2" s="1"/>
  <c r="P347" i="2"/>
  <c r="N347" i="2"/>
  <c r="M347" i="2"/>
  <c r="L347" i="2"/>
  <c r="K347" i="2"/>
  <c r="E347" i="2"/>
  <c r="D347" i="2"/>
  <c r="C347" i="2"/>
  <c r="I347" i="2" s="1"/>
  <c r="P346" i="2"/>
  <c r="M346" i="2"/>
  <c r="L346" i="2"/>
  <c r="K346" i="2"/>
  <c r="F346" i="2"/>
  <c r="E346" i="2"/>
  <c r="D346" i="2"/>
  <c r="C346" i="2"/>
  <c r="I346" i="2" s="1"/>
  <c r="P345" i="2"/>
  <c r="M345" i="2"/>
  <c r="L345" i="2"/>
  <c r="K345" i="2"/>
  <c r="E345" i="2"/>
  <c r="D345" i="2"/>
  <c r="C345" i="2"/>
  <c r="I345" i="2" s="1"/>
  <c r="P344" i="2"/>
  <c r="M344" i="2"/>
  <c r="L344" i="2"/>
  <c r="K344" i="2"/>
  <c r="F344" i="2"/>
  <c r="E344" i="2"/>
  <c r="D344" i="2"/>
  <c r="C344" i="2"/>
  <c r="I344" i="2" s="1"/>
  <c r="P343" i="2"/>
  <c r="N343" i="2"/>
  <c r="M343" i="2"/>
  <c r="L343" i="2"/>
  <c r="K343" i="2"/>
  <c r="E343" i="2"/>
  <c r="D343" i="2"/>
  <c r="C343" i="2"/>
  <c r="I343" i="2" s="1"/>
  <c r="P342" i="2"/>
  <c r="M342" i="2"/>
  <c r="L342" i="2"/>
  <c r="K342" i="2"/>
  <c r="F342" i="2"/>
  <c r="E342" i="2"/>
  <c r="D342" i="2"/>
  <c r="C342" i="2"/>
  <c r="I342" i="2" s="1"/>
  <c r="P341" i="2"/>
  <c r="M341" i="2"/>
  <c r="L341" i="2"/>
  <c r="K341" i="2"/>
  <c r="E341" i="2"/>
  <c r="D341" i="2"/>
  <c r="C341" i="2"/>
  <c r="I341" i="2" s="1"/>
  <c r="P340" i="2"/>
  <c r="M340" i="2"/>
  <c r="L340" i="2"/>
  <c r="K340" i="2"/>
  <c r="F340" i="2"/>
  <c r="E340" i="2"/>
  <c r="D340" i="2"/>
  <c r="C340" i="2"/>
  <c r="I340" i="2" s="1"/>
  <c r="P339" i="2"/>
  <c r="N339" i="2"/>
  <c r="M339" i="2"/>
  <c r="L339" i="2"/>
  <c r="K339" i="2"/>
  <c r="E339" i="2"/>
  <c r="D339" i="2"/>
  <c r="C339" i="2"/>
  <c r="F339" i="2" s="1"/>
  <c r="P338" i="2"/>
  <c r="M338" i="2"/>
  <c r="L338" i="2"/>
  <c r="K338" i="2"/>
  <c r="F338" i="2"/>
  <c r="E338" i="2"/>
  <c r="D338" i="2"/>
  <c r="C338" i="2"/>
  <c r="I338" i="2" s="1"/>
  <c r="P337" i="2"/>
  <c r="M337" i="2"/>
  <c r="L337" i="2"/>
  <c r="K337" i="2"/>
  <c r="E337" i="2"/>
  <c r="D337" i="2"/>
  <c r="C337" i="2"/>
  <c r="I337" i="2" s="1"/>
  <c r="P336" i="2"/>
  <c r="M336" i="2"/>
  <c r="L336" i="2"/>
  <c r="K336" i="2"/>
  <c r="F336" i="2"/>
  <c r="E336" i="2"/>
  <c r="D336" i="2"/>
  <c r="C336" i="2"/>
  <c r="I336" i="2" s="1"/>
  <c r="P335" i="2"/>
  <c r="N335" i="2"/>
  <c r="M335" i="2"/>
  <c r="L335" i="2"/>
  <c r="K335" i="2"/>
  <c r="E335" i="2"/>
  <c r="D335" i="2"/>
  <c r="C335" i="2"/>
  <c r="I335" i="2" s="1"/>
  <c r="P334" i="2"/>
  <c r="M334" i="2"/>
  <c r="L334" i="2"/>
  <c r="N334" i="2" s="1"/>
  <c r="K334" i="2"/>
  <c r="E334" i="2"/>
  <c r="D334" i="2"/>
  <c r="C334" i="2"/>
  <c r="I334" i="2" s="1"/>
  <c r="P333" i="2"/>
  <c r="M333" i="2"/>
  <c r="L333" i="2"/>
  <c r="K333" i="2"/>
  <c r="E333" i="2"/>
  <c r="D333" i="2"/>
  <c r="C333" i="2"/>
  <c r="I333" i="2" s="1"/>
  <c r="P332" i="2"/>
  <c r="M332" i="2"/>
  <c r="L332" i="2"/>
  <c r="K332" i="2"/>
  <c r="E332" i="2"/>
  <c r="D332" i="2"/>
  <c r="C332" i="2"/>
  <c r="I332" i="2" s="1"/>
  <c r="P331" i="2"/>
  <c r="M331" i="2"/>
  <c r="L331" i="2"/>
  <c r="K331" i="2"/>
  <c r="F331" i="2"/>
  <c r="E331" i="2"/>
  <c r="D331" i="2"/>
  <c r="C331" i="2"/>
  <c r="I331" i="2" s="1"/>
  <c r="P330" i="2"/>
  <c r="M330" i="2"/>
  <c r="L330" i="2"/>
  <c r="N330" i="2" s="1"/>
  <c r="K330" i="2"/>
  <c r="E330" i="2"/>
  <c r="D330" i="2"/>
  <c r="C330" i="2"/>
  <c r="I330" i="2" s="1"/>
  <c r="P329" i="2"/>
  <c r="M329" i="2"/>
  <c r="L329" i="2"/>
  <c r="K329" i="2"/>
  <c r="E329" i="2"/>
  <c r="D329" i="2"/>
  <c r="C329" i="2"/>
  <c r="I329" i="2" s="1"/>
  <c r="P328" i="2"/>
  <c r="M328" i="2"/>
  <c r="L328" i="2"/>
  <c r="K328" i="2"/>
  <c r="E328" i="2"/>
  <c r="D328" i="2"/>
  <c r="C328" i="2"/>
  <c r="I328" i="2" s="1"/>
  <c r="P327" i="2"/>
  <c r="M327" i="2"/>
  <c r="L327" i="2"/>
  <c r="K327" i="2"/>
  <c r="F327" i="2"/>
  <c r="E327" i="2"/>
  <c r="D327" i="2"/>
  <c r="C327" i="2"/>
  <c r="I327" i="2" s="1"/>
  <c r="P326" i="2"/>
  <c r="M326" i="2"/>
  <c r="L326" i="2"/>
  <c r="N326" i="2" s="1"/>
  <c r="K326" i="2"/>
  <c r="E326" i="2"/>
  <c r="D326" i="2"/>
  <c r="C326" i="2"/>
  <c r="I326" i="2" s="1"/>
  <c r="P325" i="2"/>
  <c r="M325" i="2"/>
  <c r="L325" i="2"/>
  <c r="K325" i="2"/>
  <c r="E325" i="2"/>
  <c r="D325" i="2"/>
  <c r="C325" i="2"/>
  <c r="I325" i="2" s="1"/>
  <c r="P324" i="2"/>
  <c r="M324" i="2"/>
  <c r="L324" i="2"/>
  <c r="K324" i="2"/>
  <c r="E324" i="2"/>
  <c r="D324" i="2"/>
  <c r="C324" i="2"/>
  <c r="I324" i="2" s="1"/>
  <c r="P323" i="2"/>
  <c r="M323" i="2"/>
  <c r="L323" i="2"/>
  <c r="K323" i="2"/>
  <c r="I323" i="2"/>
  <c r="E323" i="2"/>
  <c r="D323" i="2"/>
  <c r="C323" i="2"/>
  <c r="F323" i="2" s="1"/>
  <c r="P322" i="2"/>
  <c r="M322" i="2"/>
  <c r="L322" i="2"/>
  <c r="N322" i="2" s="1"/>
  <c r="K322" i="2"/>
  <c r="E322" i="2"/>
  <c r="D322" i="2"/>
  <c r="C322" i="2"/>
  <c r="I322" i="2" s="1"/>
  <c r="P321" i="2"/>
  <c r="M321" i="2"/>
  <c r="L321" i="2"/>
  <c r="K321" i="2"/>
  <c r="E321" i="2"/>
  <c r="D321" i="2"/>
  <c r="C321" i="2"/>
  <c r="I321" i="2" s="1"/>
  <c r="P320" i="2"/>
  <c r="M320" i="2"/>
  <c r="L320" i="2"/>
  <c r="K320" i="2"/>
  <c r="E320" i="2"/>
  <c r="D320" i="2"/>
  <c r="C320" i="2"/>
  <c r="I320" i="2" s="1"/>
  <c r="P319" i="2"/>
  <c r="M319" i="2"/>
  <c r="L319" i="2"/>
  <c r="K319" i="2"/>
  <c r="E319" i="2"/>
  <c r="D319" i="2"/>
  <c r="C319" i="2"/>
  <c r="I319" i="2" s="1"/>
  <c r="P318" i="2"/>
  <c r="M318" i="2"/>
  <c r="L318" i="2"/>
  <c r="N319" i="2" s="1"/>
  <c r="K318" i="2"/>
  <c r="E318" i="2"/>
  <c r="D318" i="2"/>
  <c r="C318" i="2"/>
  <c r="I318" i="2" s="1"/>
  <c r="P317" i="2"/>
  <c r="M317" i="2"/>
  <c r="L317" i="2"/>
  <c r="K317" i="2"/>
  <c r="E317" i="2"/>
  <c r="D317" i="2"/>
  <c r="C317" i="2"/>
  <c r="I317" i="2" s="1"/>
  <c r="P316" i="2"/>
  <c r="M316" i="2"/>
  <c r="L316" i="2"/>
  <c r="K316" i="2"/>
  <c r="E316" i="2"/>
  <c r="D316" i="2"/>
  <c r="C316" i="2"/>
  <c r="I316" i="2" s="1"/>
  <c r="P315" i="2"/>
  <c r="M315" i="2"/>
  <c r="L315" i="2"/>
  <c r="N315" i="2" s="1"/>
  <c r="K315" i="2"/>
  <c r="F315" i="2"/>
  <c r="E315" i="2"/>
  <c r="D315" i="2"/>
  <c r="C315" i="2"/>
  <c r="I315" i="2" s="1"/>
  <c r="P314" i="2"/>
  <c r="M314" i="2"/>
  <c r="L314" i="2"/>
  <c r="K314" i="2"/>
  <c r="E314" i="2"/>
  <c r="D314" i="2"/>
  <c r="C314" i="2"/>
  <c r="I314" i="2" s="1"/>
  <c r="P313" i="2"/>
  <c r="M313" i="2"/>
  <c r="L313" i="2"/>
  <c r="K313" i="2"/>
  <c r="E313" i="2"/>
  <c r="D313" i="2"/>
  <c r="C313" i="2"/>
  <c r="I313" i="2" s="1"/>
  <c r="P312" i="2"/>
  <c r="M312" i="2"/>
  <c r="L312" i="2"/>
  <c r="K312" i="2"/>
  <c r="E312" i="2"/>
  <c r="D312" i="2"/>
  <c r="C312" i="2"/>
  <c r="I312" i="2" s="1"/>
  <c r="P311" i="2"/>
  <c r="M311" i="2"/>
  <c r="L311" i="2"/>
  <c r="N311" i="2" s="1"/>
  <c r="K311" i="2"/>
  <c r="F311" i="2"/>
  <c r="E311" i="2"/>
  <c r="D311" i="2"/>
  <c r="C311" i="2"/>
  <c r="I311" i="2" s="1"/>
  <c r="P310" i="2"/>
  <c r="M310" i="2"/>
  <c r="L310" i="2"/>
  <c r="K310" i="2"/>
  <c r="E310" i="2"/>
  <c r="D310" i="2"/>
  <c r="C310" i="2"/>
  <c r="I310" i="2" s="1"/>
  <c r="P309" i="2"/>
  <c r="M309" i="2"/>
  <c r="L309" i="2"/>
  <c r="K309" i="2"/>
  <c r="E309" i="2"/>
  <c r="D309" i="2"/>
  <c r="C309" i="2"/>
  <c r="I309" i="2" s="1"/>
  <c r="P308" i="2"/>
  <c r="M308" i="2"/>
  <c r="L308" i="2"/>
  <c r="K308" i="2"/>
  <c r="E308" i="2"/>
  <c r="D308" i="2"/>
  <c r="C308" i="2"/>
  <c r="I308" i="2" s="1"/>
  <c r="P307" i="2"/>
  <c r="M307" i="2"/>
  <c r="L307" i="2"/>
  <c r="N307" i="2" s="1"/>
  <c r="K307" i="2"/>
  <c r="I307" i="2"/>
  <c r="E307" i="2"/>
  <c r="D307" i="2"/>
  <c r="C307" i="2"/>
  <c r="F307" i="2" s="1"/>
  <c r="P306" i="2"/>
  <c r="M306" i="2"/>
  <c r="L306" i="2"/>
  <c r="K306" i="2"/>
  <c r="E306" i="2"/>
  <c r="D306" i="2"/>
  <c r="C306" i="2"/>
  <c r="I306" i="2" s="1"/>
  <c r="P305" i="2"/>
  <c r="M305" i="2"/>
  <c r="L305" i="2"/>
  <c r="K305" i="2"/>
  <c r="E305" i="2"/>
  <c r="D305" i="2"/>
  <c r="C305" i="2"/>
  <c r="I305" i="2" s="1"/>
  <c r="P304" i="2"/>
  <c r="M304" i="2"/>
  <c r="L304" i="2"/>
  <c r="K304" i="2"/>
  <c r="E304" i="2"/>
  <c r="D304" i="2"/>
  <c r="C304" i="2"/>
  <c r="I304" i="2" s="1"/>
  <c r="P303" i="2"/>
  <c r="M303" i="2"/>
  <c r="L303" i="2"/>
  <c r="N303" i="2" s="1"/>
  <c r="K303" i="2"/>
  <c r="E303" i="2"/>
  <c r="D303" i="2"/>
  <c r="C303" i="2"/>
  <c r="I303" i="2" s="1"/>
  <c r="P302" i="2"/>
  <c r="M302" i="2"/>
  <c r="L302" i="2"/>
  <c r="K302" i="2"/>
  <c r="E302" i="2"/>
  <c r="D302" i="2"/>
  <c r="C302" i="2"/>
  <c r="I302" i="2" s="1"/>
  <c r="P301" i="2"/>
  <c r="M301" i="2"/>
  <c r="L301" i="2"/>
  <c r="K301" i="2"/>
  <c r="E301" i="2"/>
  <c r="D301" i="2"/>
  <c r="C301" i="2"/>
  <c r="I301" i="2" s="1"/>
  <c r="P300" i="2"/>
  <c r="M300" i="2"/>
  <c r="L300" i="2"/>
  <c r="K300" i="2"/>
  <c r="E300" i="2"/>
  <c r="D300" i="2"/>
  <c r="C300" i="2"/>
  <c r="I300" i="2" s="1"/>
  <c r="P299" i="2"/>
  <c r="N299" i="2"/>
  <c r="M299" i="2"/>
  <c r="L299" i="2"/>
  <c r="K299" i="2"/>
  <c r="F299" i="2"/>
  <c r="E299" i="2"/>
  <c r="D299" i="2"/>
  <c r="C299" i="2"/>
  <c r="I299" i="2" s="1"/>
  <c r="P298" i="2"/>
  <c r="M298" i="2"/>
  <c r="L298" i="2"/>
  <c r="K298" i="2"/>
  <c r="E298" i="2"/>
  <c r="D298" i="2"/>
  <c r="C298" i="2"/>
  <c r="I298" i="2" s="1"/>
  <c r="P297" i="2"/>
  <c r="M297" i="2"/>
  <c r="L297" i="2"/>
  <c r="K297" i="2"/>
  <c r="E297" i="2"/>
  <c r="D297" i="2"/>
  <c r="C297" i="2"/>
  <c r="I297" i="2" s="1"/>
  <c r="P296" i="2"/>
  <c r="M296" i="2"/>
  <c r="L296" i="2"/>
  <c r="K296" i="2"/>
  <c r="E296" i="2"/>
  <c r="D296" i="2"/>
  <c r="C296" i="2"/>
  <c r="I296" i="2" s="1"/>
  <c r="P295" i="2"/>
  <c r="N295" i="2"/>
  <c r="M295" i="2"/>
  <c r="L295" i="2"/>
  <c r="K295" i="2"/>
  <c r="F295" i="2"/>
  <c r="E295" i="2"/>
  <c r="D295" i="2"/>
  <c r="C295" i="2"/>
  <c r="I295" i="2" s="1"/>
  <c r="P294" i="2"/>
  <c r="M294" i="2"/>
  <c r="L294" i="2"/>
  <c r="K294" i="2"/>
  <c r="E294" i="2"/>
  <c r="D294" i="2"/>
  <c r="C294" i="2"/>
  <c r="I294" i="2" s="1"/>
  <c r="P293" i="2"/>
  <c r="M293" i="2"/>
  <c r="L293" i="2"/>
  <c r="K293" i="2"/>
  <c r="E293" i="2"/>
  <c r="D293" i="2"/>
  <c r="C293" i="2"/>
  <c r="I293" i="2" s="1"/>
  <c r="P292" i="2"/>
  <c r="M292" i="2"/>
  <c r="L292" i="2"/>
  <c r="K292" i="2"/>
  <c r="E292" i="2"/>
  <c r="D292" i="2"/>
  <c r="C292" i="2"/>
  <c r="I292" i="2" s="1"/>
  <c r="P291" i="2"/>
  <c r="M291" i="2"/>
  <c r="L291" i="2"/>
  <c r="K291" i="2"/>
  <c r="I291" i="2"/>
  <c r="E291" i="2"/>
  <c r="D291" i="2"/>
  <c r="C291" i="2"/>
  <c r="F291" i="2" s="1"/>
  <c r="P290" i="2"/>
  <c r="M290" i="2"/>
  <c r="L290" i="2"/>
  <c r="K290" i="2"/>
  <c r="F290" i="2"/>
  <c r="E290" i="2"/>
  <c r="D290" i="2"/>
  <c r="C290" i="2"/>
  <c r="I290" i="2" s="1"/>
  <c r="P289" i="2"/>
  <c r="M289" i="2"/>
  <c r="L289" i="2"/>
  <c r="K289" i="2"/>
  <c r="E289" i="2"/>
  <c r="D289" i="2"/>
  <c r="C289" i="2"/>
  <c r="I289" i="2" s="1"/>
  <c r="P288" i="2"/>
  <c r="M288" i="2"/>
  <c r="L288" i="2"/>
  <c r="N288" i="2" s="1"/>
  <c r="K288" i="2"/>
  <c r="E288" i="2"/>
  <c r="D288" i="2"/>
  <c r="C288" i="2"/>
  <c r="I288" i="2" s="1"/>
  <c r="P287" i="2"/>
  <c r="N287" i="2"/>
  <c r="M287" i="2"/>
  <c r="L287" i="2"/>
  <c r="K287" i="2"/>
  <c r="I287" i="2"/>
  <c r="E287" i="2"/>
  <c r="D287" i="2"/>
  <c r="C287" i="2"/>
  <c r="F287" i="2" s="1"/>
  <c r="P286" i="2"/>
  <c r="M286" i="2"/>
  <c r="L286" i="2"/>
  <c r="K286" i="2"/>
  <c r="E286" i="2"/>
  <c r="D286" i="2"/>
  <c r="C286" i="2"/>
  <c r="I286" i="2" s="1"/>
  <c r="P285" i="2"/>
  <c r="M285" i="2"/>
  <c r="L285" i="2"/>
  <c r="K285" i="2"/>
  <c r="F285" i="2"/>
  <c r="E285" i="2"/>
  <c r="D285" i="2"/>
  <c r="C285" i="2"/>
  <c r="I285" i="2" s="1"/>
  <c r="P284" i="2"/>
  <c r="M284" i="2"/>
  <c r="L284" i="2"/>
  <c r="K284" i="2"/>
  <c r="E284" i="2"/>
  <c r="D284" i="2"/>
  <c r="C284" i="2"/>
  <c r="I284" i="2" s="1"/>
  <c r="P283" i="2"/>
  <c r="M283" i="2"/>
  <c r="L283" i="2"/>
  <c r="N283" i="2" s="1"/>
  <c r="K283" i="2"/>
  <c r="I283" i="2"/>
  <c r="E283" i="2"/>
  <c r="D283" i="2"/>
  <c r="C283" i="2"/>
  <c r="F283" i="2" s="1"/>
  <c r="P282" i="2"/>
  <c r="M282" i="2"/>
  <c r="L282" i="2"/>
  <c r="K282" i="2"/>
  <c r="E282" i="2"/>
  <c r="D282" i="2"/>
  <c r="C282" i="2"/>
  <c r="I282" i="2" s="1"/>
  <c r="P281" i="2"/>
  <c r="M281" i="2"/>
  <c r="L281" i="2"/>
  <c r="K281" i="2"/>
  <c r="F281" i="2"/>
  <c r="E281" i="2"/>
  <c r="D281" i="2"/>
  <c r="C281" i="2"/>
  <c r="I281" i="2" s="1"/>
  <c r="P280" i="2"/>
  <c r="M280" i="2"/>
  <c r="L280" i="2"/>
  <c r="N280" i="2" s="1"/>
  <c r="K280" i="2"/>
  <c r="F280" i="2"/>
  <c r="E280" i="2"/>
  <c r="D280" i="2"/>
  <c r="C280" i="2"/>
  <c r="I280" i="2" s="1"/>
  <c r="P279" i="2"/>
  <c r="M279" i="2"/>
  <c r="L279" i="2"/>
  <c r="K279" i="2"/>
  <c r="I279" i="2"/>
  <c r="E279" i="2"/>
  <c r="D279" i="2"/>
  <c r="C279" i="2"/>
  <c r="F279" i="2" s="1"/>
  <c r="P278" i="2"/>
  <c r="M278" i="2"/>
  <c r="L278" i="2"/>
  <c r="N278" i="2" s="1"/>
  <c r="K278" i="2"/>
  <c r="E278" i="2"/>
  <c r="D278" i="2"/>
  <c r="C278" i="2"/>
  <c r="I278" i="2" s="1"/>
  <c r="P277" i="2"/>
  <c r="M277" i="2"/>
  <c r="L277" i="2"/>
  <c r="N277" i="2" s="1"/>
  <c r="K277" i="2"/>
  <c r="E277" i="2"/>
  <c r="D277" i="2"/>
  <c r="C277" i="2"/>
  <c r="I277" i="2" s="1"/>
  <c r="P276" i="2"/>
  <c r="M276" i="2"/>
  <c r="L276" i="2"/>
  <c r="N276" i="2" s="1"/>
  <c r="K276" i="2"/>
  <c r="F276" i="2"/>
  <c r="E276" i="2"/>
  <c r="D276" i="2"/>
  <c r="C276" i="2"/>
  <c r="I276" i="2" s="1"/>
  <c r="P275" i="2"/>
  <c r="M275" i="2"/>
  <c r="L275" i="2"/>
  <c r="N275" i="2" s="1"/>
  <c r="K275" i="2"/>
  <c r="I275" i="2"/>
  <c r="E275" i="2"/>
  <c r="D275" i="2"/>
  <c r="C275" i="2"/>
  <c r="F275" i="2" s="1"/>
  <c r="P274" i="2"/>
  <c r="M274" i="2"/>
  <c r="L274" i="2"/>
  <c r="N274" i="2" s="1"/>
  <c r="K274" i="2"/>
  <c r="F274" i="2"/>
  <c r="E274" i="2"/>
  <c r="D274" i="2"/>
  <c r="C274" i="2"/>
  <c r="I274" i="2" s="1"/>
  <c r="P273" i="2"/>
  <c r="M273" i="2"/>
  <c r="L273" i="2"/>
  <c r="K273" i="2"/>
  <c r="F273" i="2"/>
  <c r="E273" i="2"/>
  <c r="D273" i="2"/>
  <c r="C273" i="2"/>
  <c r="I273" i="2" s="1"/>
  <c r="P272" i="2"/>
  <c r="M272" i="2"/>
  <c r="L272" i="2"/>
  <c r="N272" i="2" s="1"/>
  <c r="K272" i="2"/>
  <c r="F272" i="2"/>
  <c r="E272" i="2"/>
  <c r="D272" i="2"/>
  <c r="C272" i="2"/>
  <c r="I272" i="2" s="1"/>
  <c r="P271" i="2"/>
  <c r="M271" i="2"/>
  <c r="L271" i="2"/>
  <c r="K271" i="2"/>
  <c r="E271" i="2"/>
  <c r="D271" i="2"/>
  <c r="C271" i="2"/>
  <c r="F271" i="2" s="1"/>
  <c r="P270" i="2"/>
  <c r="M270" i="2"/>
  <c r="L270" i="2"/>
  <c r="N270" i="2" s="1"/>
  <c r="K270" i="2"/>
  <c r="E270" i="2"/>
  <c r="D270" i="2"/>
  <c r="C270" i="2"/>
  <c r="I270" i="2" s="1"/>
  <c r="P269" i="2"/>
  <c r="M269" i="2"/>
  <c r="L269" i="2"/>
  <c r="N269" i="2" s="1"/>
  <c r="K269" i="2"/>
  <c r="E269" i="2"/>
  <c r="D269" i="2"/>
  <c r="C269" i="2"/>
  <c r="I269" i="2" s="1"/>
  <c r="P268" i="2"/>
  <c r="M268" i="2"/>
  <c r="L268" i="2"/>
  <c r="N268" i="2" s="1"/>
  <c r="K268" i="2"/>
  <c r="E268" i="2"/>
  <c r="D268" i="2"/>
  <c r="C268" i="2"/>
  <c r="I268" i="2" s="1"/>
  <c r="P267" i="2"/>
  <c r="M267" i="2"/>
  <c r="L267" i="2"/>
  <c r="N267" i="2" s="1"/>
  <c r="K267" i="2"/>
  <c r="I267" i="2"/>
  <c r="E267" i="2"/>
  <c r="D267" i="2"/>
  <c r="C267" i="2"/>
  <c r="F267" i="2" s="1"/>
  <c r="P266" i="2"/>
  <c r="M266" i="2"/>
  <c r="L266" i="2"/>
  <c r="K266" i="2"/>
  <c r="E266" i="2"/>
  <c r="D266" i="2"/>
  <c r="C266" i="2"/>
  <c r="I266" i="2" s="1"/>
  <c r="P265" i="2"/>
  <c r="N265" i="2"/>
  <c r="M265" i="2"/>
  <c r="L265" i="2"/>
  <c r="K265" i="2"/>
  <c r="E265" i="2"/>
  <c r="D265" i="2"/>
  <c r="C265" i="2"/>
  <c r="I265" i="2" s="1"/>
  <c r="P264" i="2"/>
  <c r="M264" i="2"/>
  <c r="L264" i="2"/>
  <c r="K264" i="2"/>
  <c r="F264" i="2"/>
  <c r="E264" i="2"/>
  <c r="D264" i="2"/>
  <c r="C264" i="2"/>
  <c r="I264" i="2" s="1"/>
  <c r="P263" i="2"/>
  <c r="M263" i="2"/>
  <c r="L263" i="2"/>
  <c r="N263" i="2" s="1"/>
  <c r="K263" i="2"/>
  <c r="E263" i="2"/>
  <c r="D263" i="2"/>
  <c r="C263" i="2"/>
  <c r="I263" i="2" s="1"/>
  <c r="P262" i="2"/>
  <c r="M262" i="2"/>
  <c r="L262" i="2"/>
  <c r="N262" i="2" s="1"/>
  <c r="K262" i="2"/>
  <c r="E262" i="2"/>
  <c r="D262" i="2"/>
  <c r="C262" i="2"/>
  <c r="I262" i="2" s="1"/>
  <c r="P261" i="2"/>
  <c r="M261" i="2"/>
  <c r="L261" i="2"/>
  <c r="K261" i="2"/>
  <c r="E261" i="2"/>
  <c r="D261" i="2"/>
  <c r="C261" i="2"/>
  <c r="I261" i="2" s="1"/>
  <c r="P260" i="2"/>
  <c r="M260" i="2"/>
  <c r="L260" i="2"/>
  <c r="K260" i="2"/>
  <c r="F260" i="2"/>
  <c r="E260" i="2"/>
  <c r="D260" i="2"/>
  <c r="C260" i="2"/>
  <c r="I260" i="2" s="1"/>
  <c r="P259" i="2"/>
  <c r="M259" i="2"/>
  <c r="L259" i="2"/>
  <c r="K259" i="2"/>
  <c r="E259" i="2"/>
  <c r="D259" i="2"/>
  <c r="C259" i="2"/>
  <c r="I259" i="2" s="1"/>
  <c r="P258" i="2"/>
  <c r="M258" i="2"/>
  <c r="L258" i="2"/>
  <c r="K258" i="2"/>
  <c r="F258" i="2"/>
  <c r="E258" i="2"/>
  <c r="D258" i="2"/>
  <c r="C258" i="2"/>
  <c r="I258" i="2" s="1"/>
  <c r="P257" i="2"/>
  <c r="M257" i="2"/>
  <c r="L257" i="2"/>
  <c r="N257" i="2" s="1"/>
  <c r="K257" i="2"/>
  <c r="F257" i="2"/>
  <c r="E257" i="2"/>
  <c r="D257" i="2"/>
  <c r="C257" i="2"/>
  <c r="I257" i="2" s="1"/>
  <c r="P256" i="2"/>
  <c r="M256" i="2"/>
  <c r="L256" i="2"/>
  <c r="K256" i="2"/>
  <c r="F256" i="2"/>
  <c r="E256" i="2"/>
  <c r="D256" i="2"/>
  <c r="C256" i="2"/>
  <c r="I256" i="2" s="1"/>
  <c r="P255" i="2"/>
  <c r="M255" i="2"/>
  <c r="L255" i="2"/>
  <c r="N255" i="2" s="1"/>
  <c r="K255" i="2"/>
  <c r="E255" i="2"/>
  <c r="D255" i="2"/>
  <c r="C255" i="2"/>
  <c r="I255" i="2" s="1"/>
  <c r="P254" i="2"/>
  <c r="M254" i="2"/>
  <c r="L254" i="2"/>
  <c r="N254" i="2" s="1"/>
  <c r="K254" i="2"/>
  <c r="E254" i="2"/>
  <c r="D254" i="2"/>
  <c r="C254" i="2"/>
  <c r="I254" i="2" s="1"/>
  <c r="P253" i="2"/>
  <c r="M253" i="2"/>
  <c r="L253" i="2"/>
  <c r="N253" i="2" s="1"/>
  <c r="K253" i="2"/>
  <c r="F253" i="2"/>
  <c r="E253" i="2"/>
  <c r="D253" i="2"/>
  <c r="C253" i="2"/>
  <c r="I253" i="2" s="1"/>
  <c r="P252" i="2"/>
  <c r="M252" i="2"/>
  <c r="L252" i="2"/>
  <c r="K252" i="2"/>
  <c r="E252" i="2"/>
  <c r="D252" i="2"/>
  <c r="C252" i="2"/>
  <c r="I252" i="2" s="1"/>
  <c r="P251" i="2"/>
  <c r="M251" i="2"/>
  <c r="L251" i="2"/>
  <c r="N251" i="2" s="1"/>
  <c r="K251" i="2"/>
  <c r="E251" i="2"/>
  <c r="D251" i="2"/>
  <c r="C251" i="2"/>
  <c r="I251" i="2" s="1"/>
  <c r="P250" i="2"/>
  <c r="M250" i="2"/>
  <c r="L250" i="2"/>
  <c r="N250" i="2" s="1"/>
  <c r="K250" i="2"/>
  <c r="E250" i="2"/>
  <c r="D250" i="2"/>
  <c r="C250" i="2"/>
  <c r="I250" i="2" s="1"/>
  <c r="P249" i="2"/>
  <c r="M249" i="2"/>
  <c r="L249" i="2"/>
  <c r="N249" i="2" s="1"/>
  <c r="K249" i="2"/>
  <c r="F249" i="2"/>
  <c r="E249" i="2"/>
  <c r="D249" i="2"/>
  <c r="C249" i="2"/>
  <c r="I249" i="2" s="1"/>
  <c r="P248" i="2"/>
  <c r="M248" i="2"/>
  <c r="L248" i="2"/>
  <c r="K248" i="2"/>
  <c r="E248" i="2"/>
  <c r="D248" i="2"/>
  <c r="C248" i="2"/>
  <c r="I248" i="2" s="1"/>
  <c r="P247" i="2"/>
  <c r="M247" i="2"/>
  <c r="L247" i="2"/>
  <c r="N247" i="2" s="1"/>
  <c r="K247" i="2"/>
  <c r="E247" i="2"/>
  <c r="D247" i="2"/>
  <c r="C247" i="2"/>
  <c r="I247" i="2" s="1"/>
  <c r="P246" i="2"/>
  <c r="M246" i="2"/>
  <c r="L246" i="2"/>
  <c r="N246" i="2" s="1"/>
  <c r="K246" i="2"/>
  <c r="E246" i="2"/>
  <c r="D246" i="2"/>
  <c r="C246" i="2"/>
  <c r="I246" i="2" s="1"/>
  <c r="P245" i="2"/>
  <c r="M245" i="2"/>
  <c r="L245" i="2"/>
  <c r="N245" i="2" s="1"/>
  <c r="K245" i="2"/>
  <c r="E245" i="2"/>
  <c r="D245" i="2"/>
  <c r="C245" i="2"/>
  <c r="I245" i="2" s="1"/>
  <c r="P244" i="2"/>
  <c r="M244" i="2"/>
  <c r="L244" i="2"/>
  <c r="K244" i="2"/>
  <c r="E244" i="2"/>
  <c r="D244" i="2"/>
  <c r="C244" i="2"/>
  <c r="I244" i="2" s="1"/>
  <c r="P243" i="2"/>
  <c r="M243" i="2"/>
  <c r="L243" i="2"/>
  <c r="N243" i="2" s="1"/>
  <c r="K243" i="2"/>
  <c r="E243" i="2"/>
  <c r="D243" i="2"/>
  <c r="C243" i="2"/>
  <c r="F243" i="2" s="1"/>
  <c r="M242" i="2"/>
  <c r="L242" i="2"/>
  <c r="K242" i="2"/>
  <c r="E242" i="2"/>
  <c r="D242" i="2"/>
  <c r="C242" i="2"/>
  <c r="I242" i="2" s="1"/>
  <c r="P241" i="2"/>
  <c r="M241" i="2"/>
  <c r="L241" i="2"/>
  <c r="N241" i="2" s="1"/>
  <c r="K241" i="2"/>
  <c r="E241" i="2"/>
  <c r="D241" i="2"/>
  <c r="C241" i="2"/>
  <c r="I241" i="2" s="1"/>
  <c r="P240" i="2"/>
  <c r="M240" i="2"/>
  <c r="L240" i="2"/>
  <c r="K240" i="2"/>
  <c r="I240" i="2"/>
  <c r="E240" i="2"/>
  <c r="D240" i="2"/>
  <c r="C240" i="2"/>
  <c r="F240" i="2" s="1"/>
  <c r="AL239" i="2" a="1"/>
  <c r="AK239" i="2"/>
  <c r="AU239" i="2" s="1"/>
  <c r="P239" i="2"/>
  <c r="M239" i="2"/>
  <c r="L239" i="2"/>
  <c r="N239" i="2" s="1"/>
  <c r="K239" i="2"/>
  <c r="F239" i="2"/>
  <c r="E239" i="2"/>
  <c r="D239" i="2"/>
  <c r="C239" i="2"/>
  <c r="I239" i="2" s="1"/>
  <c r="P238" i="2"/>
  <c r="M238" i="2"/>
  <c r="L238" i="2"/>
  <c r="K238" i="2"/>
  <c r="I238" i="2"/>
  <c r="E238" i="2"/>
  <c r="D238" i="2"/>
  <c r="C238" i="2"/>
  <c r="F238" i="2" s="1"/>
  <c r="P237" i="2"/>
  <c r="M237" i="2"/>
  <c r="L237" i="2"/>
  <c r="N238" i="2" s="1"/>
  <c r="K237" i="2"/>
  <c r="E237" i="2"/>
  <c r="D237" i="2"/>
  <c r="C237" i="2"/>
  <c r="I237" i="2" s="1"/>
  <c r="P236" i="2"/>
  <c r="M236" i="2"/>
  <c r="L236" i="2"/>
  <c r="N236" i="2" s="1"/>
  <c r="K236" i="2"/>
  <c r="E236" i="2"/>
  <c r="D236" i="2"/>
  <c r="C236" i="2"/>
  <c r="I236" i="2" s="1"/>
  <c r="P235" i="2"/>
  <c r="N235" i="2"/>
  <c r="M235" i="2"/>
  <c r="L235" i="2"/>
  <c r="K235" i="2"/>
  <c r="E235" i="2"/>
  <c r="D235" i="2"/>
  <c r="C235" i="2"/>
  <c r="F235" i="2" s="1"/>
  <c r="AM234" i="2"/>
  <c r="AN235" i="2" s="1"/>
  <c r="AQ235" i="2" s="1"/>
  <c r="AL234" i="2"/>
  <c r="AN234" i="2" s="1"/>
  <c r="AL234" i="2" a="1"/>
  <c r="AK234" i="2"/>
  <c r="AU234" i="2" s="1"/>
  <c r="P234" i="2"/>
  <c r="M234" i="2"/>
  <c r="L234" i="2"/>
  <c r="K234" i="2"/>
  <c r="E234" i="2"/>
  <c r="D234" i="2"/>
  <c r="C234" i="2"/>
  <c r="I234" i="2" s="1"/>
  <c r="P233" i="2"/>
  <c r="M233" i="2"/>
  <c r="L233" i="2"/>
  <c r="K233" i="2"/>
  <c r="F233" i="2"/>
  <c r="E233" i="2"/>
  <c r="D233" i="2"/>
  <c r="C233" i="2"/>
  <c r="I233" i="2" s="1"/>
  <c r="P232" i="2"/>
  <c r="M232" i="2"/>
  <c r="L232" i="2"/>
  <c r="K232" i="2"/>
  <c r="E232" i="2"/>
  <c r="D232" i="2"/>
  <c r="C232" i="2"/>
  <c r="I232" i="2" s="1"/>
  <c r="P231" i="2"/>
  <c r="M231" i="2"/>
  <c r="L231" i="2"/>
  <c r="K231" i="2"/>
  <c r="F231" i="2"/>
  <c r="E231" i="2"/>
  <c r="D231" i="2"/>
  <c r="C231" i="2"/>
  <c r="I231" i="2" s="1"/>
  <c r="P230" i="2"/>
  <c r="M230" i="2"/>
  <c r="L230" i="2"/>
  <c r="N230" i="2" s="1"/>
  <c r="K230" i="2"/>
  <c r="F230" i="2"/>
  <c r="E230" i="2"/>
  <c r="D230" i="2"/>
  <c r="C230" i="2"/>
  <c r="I230" i="2" s="1"/>
  <c r="AL229" i="2"/>
  <c r="AL229" i="2" a="1"/>
  <c r="AK229" i="2"/>
  <c r="AU229" i="2" s="1"/>
  <c r="P229" i="2"/>
  <c r="M229" i="2"/>
  <c r="L229" i="2"/>
  <c r="N229" i="2" s="1"/>
  <c r="K229" i="2"/>
  <c r="E229" i="2"/>
  <c r="D229" i="2"/>
  <c r="C229" i="2"/>
  <c r="I229" i="2" s="1"/>
  <c r="P228" i="2"/>
  <c r="M228" i="2"/>
  <c r="L228" i="2"/>
  <c r="K228" i="2"/>
  <c r="E228" i="2"/>
  <c r="D228" i="2"/>
  <c r="C228" i="2"/>
  <c r="F228" i="2" s="1"/>
  <c r="P227" i="2"/>
  <c r="M227" i="2"/>
  <c r="L227" i="2"/>
  <c r="N228" i="2" s="1"/>
  <c r="K227" i="2"/>
  <c r="E227" i="2"/>
  <c r="D227" i="2"/>
  <c r="C227" i="2"/>
  <c r="F227" i="2" s="1"/>
  <c r="P226" i="2"/>
  <c r="M226" i="2"/>
  <c r="L226" i="2"/>
  <c r="N226" i="2" s="1"/>
  <c r="K226" i="2"/>
  <c r="E226" i="2"/>
  <c r="D226" i="2"/>
  <c r="C226" i="2"/>
  <c r="F226" i="2" s="1"/>
  <c r="P225" i="2"/>
  <c r="M225" i="2"/>
  <c r="L225" i="2"/>
  <c r="N225" i="2" s="1"/>
  <c r="K225" i="2"/>
  <c r="E225" i="2"/>
  <c r="D225" i="2"/>
  <c r="C225" i="2"/>
  <c r="AL224" i="2" a="1"/>
  <c r="AK224" i="2"/>
  <c r="AU224" i="2" s="1"/>
  <c r="P224" i="2"/>
  <c r="M224" i="2"/>
  <c r="L224" i="2"/>
  <c r="K224" i="2"/>
  <c r="E224" i="2"/>
  <c r="D224" i="2"/>
  <c r="C224" i="2"/>
  <c r="I224" i="2" s="1"/>
  <c r="X223" i="2"/>
  <c r="AA223" i="2" s="1"/>
  <c r="P223" i="2"/>
  <c r="M223" i="2"/>
  <c r="L223" i="2"/>
  <c r="K223" i="2"/>
  <c r="F223" i="2"/>
  <c r="E223" i="2"/>
  <c r="D223" i="2"/>
  <c r="C223" i="2"/>
  <c r="I223" i="2" s="1"/>
  <c r="P222" i="2"/>
  <c r="M222" i="2"/>
  <c r="L222" i="2"/>
  <c r="K222" i="2"/>
  <c r="E222" i="2"/>
  <c r="D222" i="2"/>
  <c r="C222" i="2"/>
  <c r="I222" i="2" s="1"/>
  <c r="P221" i="2"/>
  <c r="M221" i="2"/>
  <c r="L221" i="2"/>
  <c r="K221" i="2"/>
  <c r="F221" i="2"/>
  <c r="E221" i="2"/>
  <c r="D221" i="2"/>
  <c r="C221" i="2"/>
  <c r="I221" i="2" s="1"/>
  <c r="P220" i="2"/>
  <c r="M220" i="2"/>
  <c r="L220" i="2"/>
  <c r="N220" i="2" s="1"/>
  <c r="K220" i="2"/>
  <c r="F220" i="2"/>
  <c r="E220" i="2"/>
  <c r="D220" i="2"/>
  <c r="C220" i="2"/>
  <c r="I220" i="2" s="1"/>
  <c r="AM219" i="2"/>
  <c r="AL219" i="2"/>
  <c r="AL219" i="2" a="1"/>
  <c r="AK219" i="2"/>
  <c r="AU219" i="2" s="1"/>
  <c r="P219" i="2"/>
  <c r="M219" i="2"/>
  <c r="L219" i="2"/>
  <c r="K219" i="2"/>
  <c r="E219" i="2"/>
  <c r="D219" i="2"/>
  <c r="C219" i="2"/>
  <c r="F219" i="2" s="1"/>
  <c r="W218" i="2"/>
  <c r="X233" i="2" s="1"/>
  <c r="AA233" i="2" s="1"/>
  <c r="V218" i="2"/>
  <c r="V218" i="2" a="1"/>
  <c r="U218" i="2"/>
  <c r="AE218" i="2" s="1"/>
  <c r="P218" i="2"/>
  <c r="M218" i="2"/>
  <c r="L218" i="2"/>
  <c r="N219" i="2" s="1"/>
  <c r="K218" i="2"/>
  <c r="E218" i="2"/>
  <c r="D218" i="2"/>
  <c r="C218" i="2"/>
  <c r="I218" i="2" s="1"/>
  <c r="P217" i="2"/>
  <c r="M217" i="2"/>
  <c r="L217" i="2"/>
  <c r="K217" i="2"/>
  <c r="E217" i="2"/>
  <c r="D217" i="2"/>
  <c r="C217" i="2"/>
  <c r="I217" i="2" s="1"/>
  <c r="P216" i="2"/>
  <c r="M216" i="2"/>
  <c r="L216" i="2"/>
  <c r="K216" i="2"/>
  <c r="F216" i="2"/>
  <c r="E216" i="2"/>
  <c r="D216" i="2"/>
  <c r="C216" i="2"/>
  <c r="I216" i="2" s="1"/>
  <c r="P215" i="2"/>
  <c r="M215" i="2"/>
  <c r="L215" i="2"/>
  <c r="K215" i="2"/>
  <c r="E215" i="2"/>
  <c r="D215" i="2"/>
  <c r="C215" i="2"/>
  <c r="I215" i="2" s="1"/>
  <c r="AL214" i="2"/>
  <c r="AL214" i="2" a="1"/>
  <c r="AK214" i="2"/>
  <c r="AU214" i="2" s="1"/>
  <c r="P214" i="2"/>
  <c r="M214" i="2"/>
  <c r="L214" i="2"/>
  <c r="N214" i="2" s="1"/>
  <c r="K214" i="2"/>
  <c r="F214" i="2"/>
  <c r="E214" i="2"/>
  <c r="D214" i="2"/>
  <c r="C214" i="2"/>
  <c r="I214" i="2" s="1"/>
  <c r="P213" i="2"/>
  <c r="N213" i="2"/>
  <c r="M213" i="2"/>
  <c r="L213" i="2"/>
  <c r="K213" i="2"/>
  <c r="E213" i="2"/>
  <c r="D213" i="2"/>
  <c r="C213" i="2"/>
  <c r="P212" i="2"/>
  <c r="M212" i="2"/>
  <c r="L212" i="2"/>
  <c r="N212" i="2" s="1"/>
  <c r="K212" i="2"/>
  <c r="E212" i="2"/>
  <c r="D212" i="2"/>
  <c r="C212" i="2"/>
  <c r="I212" i="2" s="1"/>
  <c r="BC211" i="2"/>
  <c r="BB211" i="2" a="1"/>
  <c r="BB211" i="2" s="1"/>
  <c r="BA211" i="2"/>
  <c r="BK211" i="2" s="1"/>
  <c r="P211" i="2"/>
  <c r="M211" i="2"/>
  <c r="L211" i="2"/>
  <c r="N211" i="2" s="1"/>
  <c r="K211" i="2"/>
  <c r="F211" i="2"/>
  <c r="E211" i="2"/>
  <c r="D211" i="2"/>
  <c r="C211" i="2"/>
  <c r="I211" i="2" s="1"/>
  <c r="P210" i="2"/>
  <c r="M210" i="2"/>
  <c r="L210" i="2"/>
  <c r="N210" i="2" s="1"/>
  <c r="K210" i="2"/>
  <c r="I210" i="2"/>
  <c r="E210" i="2"/>
  <c r="D210" i="2"/>
  <c r="C210" i="2"/>
  <c r="F210" i="2" s="1"/>
  <c r="AL209" i="2"/>
  <c r="AL209" i="2" a="1"/>
  <c r="AK209" i="2"/>
  <c r="AU209" i="2" s="1"/>
  <c r="P209" i="2"/>
  <c r="M209" i="2"/>
  <c r="L209" i="2"/>
  <c r="N209" i="2" s="1"/>
  <c r="K209" i="2"/>
  <c r="E209" i="2"/>
  <c r="D209" i="2"/>
  <c r="C209" i="2"/>
  <c r="I209" i="2" s="1"/>
  <c r="BC208" i="2"/>
  <c r="BB208" i="2" a="1"/>
  <c r="BA208" i="2"/>
  <c r="BK208" i="2" s="1"/>
  <c r="P208" i="2"/>
  <c r="M208" i="2"/>
  <c r="L208" i="2"/>
  <c r="N208" i="2" s="1"/>
  <c r="K208" i="2"/>
  <c r="E208" i="2"/>
  <c r="D208" i="2"/>
  <c r="C208" i="2"/>
  <c r="F208" i="2" s="1"/>
  <c r="P207" i="2"/>
  <c r="M207" i="2"/>
  <c r="L207" i="2"/>
  <c r="N207" i="2" s="1"/>
  <c r="K207" i="2"/>
  <c r="E207" i="2"/>
  <c r="D207" i="2"/>
  <c r="C207" i="2"/>
  <c r="F207" i="2" s="1"/>
  <c r="P206" i="2"/>
  <c r="M206" i="2"/>
  <c r="L206" i="2"/>
  <c r="K206" i="2"/>
  <c r="E206" i="2"/>
  <c r="D206" i="2"/>
  <c r="C206" i="2"/>
  <c r="F206" i="2" s="1"/>
  <c r="BC205" i="2"/>
  <c r="BB205" i="2" a="1"/>
  <c r="BD206" i="2" s="1"/>
  <c r="BG206" i="2" s="1"/>
  <c r="BA205" i="2"/>
  <c r="BK205" i="2" s="1"/>
  <c r="P205" i="2"/>
  <c r="M205" i="2"/>
  <c r="L205" i="2"/>
  <c r="N206" i="2" s="1"/>
  <c r="K205" i="2"/>
  <c r="E205" i="2"/>
  <c r="D205" i="2"/>
  <c r="C205" i="2"/>
  <c r="I205" i="2" s="1"/>
  <c r="AL204" i="2" a="1"/>
  <c r="AK204" i="2"/>
  <c r="AU204" i="2" s="1"/>
  <c r="AB244" i="2" s="1"/>
  <c r="P204" i="2"/>
  <c r="M204" i="2"/>
  <c r="L204" i="2"/>
  <c r="K204" i="2"/>
  <c r="E204" i="2"/>
  <c r="D204" i="2"/>
  <c r="C204" i="2"/>
  <c r="I204" i="2" s="1"/>
  <c r="X203" i="2"/>
  <c r="AA203" i="2" s="1"/>
  <c r="P203" i="2"/>
  <c r="M203" i="2"/>
  <c r="L203" i="2"/>
  <c r="K203" i="2"/>
  <c r="E203" i="2"/>
  <c r="D203" i="2"/>
  <c r="C203" i="2"/>
  <c r="I203" i="2" s="1"/>
  <c r="BC202" i="2"/>
  <c r="BB202" i="2" a="1"/>
  <c r="BD203" i="2" s="1"/>
  <c r="BG203" i="2" s="1"/>
  <c r="BA202" i="2"/>
  <c r="BK202" i="2" s="1"/>
  <c r="P202" i="2"/>
  <c r="M202" i="2"/>
  <c r="L202" i="2"/>
  <c r="K202" i="2"/>
  <c r="F202" i="2"/>
  <c r="E202" i="2"/>
  <c r="D202" i="2"/>
  <c r="C202" i="2"/>
  <c r="I202" i="2" s="1"/>
  <c r="W201" i="2"/>
  <c r="X216" i="2" s="1"/>
  <c r="AA216" i="2" s="1"/>
  <c r="V201" i="2"/>
  <c r="V201" i="2" a="1"/>
  <c r="U201" i="2"/>
  <c r="AE201" i="2" s="1"/>
  <c r="AB242" i="2" s="1"/>
  <c r="P201" i="2"/>
  <c r="M201" i="2"/>
  <c r="L201" i="2"/>
  <c r="K201" i="2"/>
  <c r="E201" i="2"/>
  <c r="D201" i="2"/>
  <c r="C201" i="2"/>
  <c r="I201" i="2" s="1"/>
  <c r="P200" i="2"/>
  <c r="M200" i="2"/>
  <c r="L200" i="2"/>
  <c r="K200" i="2"/>
  <c r="E200" i="2"/>
  <c r="D200" i="2"/>
  <c r="C200" i="2"/>
  <c r="I200" i="2" s="1"/>
  <c r="BC199" i="2"/>
  <c r="BB199" i="2" a="1"/>
  <c r="BD200" i="2" s="1"/>
  <c r="BG200" i="2" s="1"/>
  <c r="BA199" i="2"/>
  <c r="BK199" i="2" s="1"/>
  <c r="P199" i="2"/>
  <c r="M199" i="2"/>
  <c r="L199" i="2"/>
  <c r="N199" i="2" s="1"/>
  <c r="K199" i="2"/>
  <c r="F199" i="2"/>
  <c r="E199" i="2"/>
  <c r="D199" i="2"/>
  <c r="C199" i="2"/>
  <c r="I199" i="2" s="1"/>
  <c r="P198" i="2"/>
  <c r="M198" i="2"/>
  <c r="L198" i="2"/>
  <c r="K198" i="2"/>
  <c r="E198" i="2"/>
  <c r="D198" i="2"/>
  <c r="C198" i="2"/>
  <c r="F198" i="2" s="1"/>
  <c r="P197" i="2"/>
  <c r="M197" i="2"/>
  <c r="L197" i="2"/>
  <c r="N198" i="2" s="1"/>
  <c r="K197" i="2"/>
  <c r="E197" i="2"/>
  <c r="D197" i="2"/>
  <c r="C197" i="2"/>
  <c r="I197" i="2" s="1"/>
  <c r="BC196" i="2"/>
  <c r="BB196" i="2" a="1"/>
  <c r="BD197" i="2" s="1"/>
  <c r="BG197" i="2" s="1"/>
  <c r="BA196" i="2"/>
  <c r="BK196" i="2" s="1"/>
  <c r="P196" i="2"/>
  <c r="M196" i="2"/>
  <c r="L196" i="2"/>
  <c r="N196" i="2" s="1"/>
  <c r="K196" i="2"/>
  <c r="I196" i="2"/>
  <c r="E196" i="2"/>
  <c r="D196" i="2"/>
  <c r="C196" i="2"/>
  <c r="F196" i="2" s="1"/>
  <c r="P195" i="2"/>
  <c r="M195" i="2"/>
  <c r="L195" i="2"/>
  <c r="N195" i="2" s="1"/>
  <c r="K195" i="2"/>
  <c r="E195" i="2"/>
  <c r="D195" i="2"/>
  <c r="C195" i="2"/>
  <c r="I195" i="2" s="1"/>
  <c r="P194" i="2"/>
  <c r="M194" i="2"/>
  <c r="L194" i="2"/>
  <c r="K194" i="2"/>
  <c r="E194" i="2"/>
  <c r="D194" i="2"/>
  <c r="C194" i="2"/>
  <c r="I194" i="2" s="1"/>
  <c r="BC193" i="2"/>
  <c r="BB193" i="2" a="1"/>
  <c r="BA193" i="2"/>
  <c r="BK193" i="2" s="1"/>
  <c r="AL193" i="2" a="1"/>
  <c r="AK193" i="2"/>
  <c r="AU193" i="2" s="1"/>
  <c r="P193" i="2"/>
  <c r="M193" i="2"/>
  <c r="L193" i="2"/>
  <c r="K193" i="2"/>
  <c r="E193" i="2"/>
  <c r="D193" i="2"/>
  <c r="C193" i="2"/>
  <c r="I193" i="2" s="1"/>
  <c r="P192" i="2"/>
  <c r="M192" i="2"/>
  <c r="L192" i="2"/>
  <c r="K192" i="2"/>
  <c r="E192" i="2"/>
  <c r="D192" i="2"/>
  <c r="C192" i="2"/>
  <c r="I192" i="2" s="1"/>
  <c r="P191" i="2"/>
  <c r="M191" i="2"/>
  <c r="L191" i="2"/>
  <c r="K191" i="2"/>
  <c r="F191" i="2"/>
  <c r="E191" i="2"/>
  <c r="D191" i="2"/>
  <c r="C191" i="2"/>
  <c r="I191" i="2" s="1"/>
  <c r="BC190" i="2"/>
  <c r="BB190" i="2" a="1"/>
  <c r="BA190" i="2"/>
  <c r="BK190" i="2" s="1"/>
  <c r="P190" i="2"/>
  <c r="M190" i="2"/>
  <c r="L190" i="2"/>
  <c r="N190" i="2" s="1"/>
  <c r="K190" i="2"/>
  <c r="E190" i="2"/>
  <c r="D190" i="2"/>
  <c r="C190" i="2"/>
  <c r="I190" i="2" s="1"/>
  <c r="P189" i="2"/>
  <c r="N189" i="2"/>
  <c r="M189" i="2"/>
  <c r="L189" i="2"/>
  <c r="K189" i="2"/>
  <c r="E189" i="2"/>
  <c r="D189" i="2"/>
  <c r="C189" i="2"/>
  <c r="I189" i="2" s="1"/>
  <c r="P188" i="2"/>
  <c r="M188" i="2"/>
  <c r="L188" i="2"/>
  <c r="N188" i="2" s="1"/>
  <c r="K188" i="2"/>
  <c r="E188" i="2"/>
  <c r="D188" i="2"/>
  <c r="C188" i="2"/>
  <c r="F188" i="2" s="1"/>
  <c r="BC187" i="2"/>
  <c r="BB187" i="2" a="1"/>
  <c r="BA187" i="2"/>
  <c r="BK187" i="2" s="1"/>
  <c r="P187" i="2"/>
  <c r="M187" i="2"/>
  <c r="L187" i="2"/>
  <c r="K187" i="2"/>
  <c r="I187" i="2"/>
  <c r="E187" i="2"/>
  <c r="D187" i="2"/>
  <c r="C187" i="2"/>
  <c r="F187" i="2" s="1"/>
  <c r="P186" i="2"/>
  <c r="M186" i="2"/>
  <c r="L186" i="2"/>
  <c r="K186" i="2"/>
  <c r="E186" i="2"/>
  <c r="D186" i="2"/>
  <c r="C186" i="2"/>
  <c r="I186" i="2" s="1"/>
  <c r="P185" i="2"/>
  <c r="M185" i="2"/>
  <c r="L185" i="2"/>
  <c r="K185" i="2"/>
  <c r="E185" i="2"/>
  <c r="D185" i="2"/>
  <c r="C185" i="2"/>
  <c r="I185" i="2" s="1"/>
  <c r="BC184" i="2"/>
  <c r="BB184" i="2" a="1"/>
  <c r="BB184" i="2" s="1"/>
  <c r="BA184" i="2"/>
  <c r="BK184" i="2" s="1"/>
  <c r="AL184" i="2" a="1"/>
  <c r="AK184" i="2"/>
  <c r="AU184" i="2" s="1"/>
  <c r="P184" i="2"/>
  <c r="M184" i="2"/>
  <c r="L184" i="2"/>
  <c r="K184" i="2"/>
  <c r="F184" i="2"/>
  <c r="E184" i="2"/>
  <c r="D184" i="2"/>
  <c r="C184" i="2"/>
  <c r="I184" i="2" s="1"/>
  <c r="P183" i="2"/>
  <c r="M183" i="2"/>
  <c r="L183" i="2"/>
  <c r="N183" i="2" s="1"/>
  <c r="K183" i="2"/>
  <c r="E183" i="2"/>
  <c r="D183" i="2"/>
  <c r="C183" i="2"/>
  <c r="I183" i="2" s="1"/>
  <c r="P182" i="2"/>
  <c r="M182" i="2"/>
  <c r="L182" i="2"/>
  <c r="K182" i="2"/>
  <c r="E182" i="2"/>
  <c r="D182" i="2"/>
  <c r="C182" i="2"/>
  <c r="I182" i="2" s="1"/>
  <c r="BC181" i="2"/>
  <c r="BB181" i="2" a="1"/>
  <c r="BB181" i="2" s="1"/>
  <c r="BD181" i="2" s="1"/>
  <c r="BA181" i="2"/>
  <c r="BK181" i="2" s="1"/>
  <c r="P181" i="2"/>
  <c r="M181" i="2"/>
  <c r="L181" i="2"/>
  <c r="N181" i="2" s="1"/>
  <c r="K181" i="2"/>
  <c r="E181" i="2"/>
  <c r="D181" i="2"/>
  <c r="C181" i="2"/>
  <c r="I181" i="2" s="1"/>
  <c r="P180" i="2"/>
  <c r="M180" i="2"/>
  <c r="L180" i="2"/>
  <c r="N180" i="2" s="1"/>
  <c r="K180" i="2"/>
  <c r="E180" i="2"/>
  <c r="D180" i="2"/>
  <c r="C180" i="2"/>
  <c r="I180" i="2" s="1"/>
  <c r="P179" i="2"/>
  <c r="M179" i="2"/>
  <c r="L179" i="2"/>
  <c r="N179" i="2" s="1"/>
  <c r="K179" i="2"/>
  <c r="F179" i="2"/>
  <c r="E179" i="2"/>
  <c r="D179" i="2"/>
  <c r="C179" i="2"/>
  <c r="I179" i="2" s="1"/>
  <c r="BC178" i="2"/>
  <c r="BB178" i="2"/>
  <c r="BB178" i="2" a="1"/>
  <c r="BA178" i="2"/>
  <c r="BK178" i="2" s="1"/>
  <c r="P178" i="2"/>
  <c r="M178" i="2"/>
  <c r="L178" i="2"/>
  <c r="N178" i="2" s="1"/>
  <c r="K178" i="2"/>
  <c r="E178" i="2"/>
  <c r="D178" i="2"/>
  <c r="C178" i="2"/>
  <c r="F178" i="2" s="1"/>
  <c r="P177" i="2"/>
  <c r="M177" i="2"/>
  <c r="L177" i="2"/>
  <c r="K177" i="2"/>
  <c r="E177" i="2"/>
  <c r="D177" i="2"/>
  <c r="C177" i="2"/>
  <c r="I177" i="2" s="1"/>
  <c r="BD176" i="2"/>
  <c r="BG176" i="2" s="1"/>
  <c r="P176" i="2"/>
  <c r="M176" i="2"/>
  <c r="L176" i="2"/>
  <c r="K176" i="2"/>
  <c r="E176" i="2"/>
  <c r="D176" i="2"/>
  <c r="C176" i="2"/>
  <c r="I176" i="2" s="1"/>
  <c r="BC175" i="2"/>
  <c r="BB175" i="2" a="1"/>
  <c r="BB175" i="2" s="1"/>
  <c r="BA175" i="2"/>
  <c r="BK175" i="2" s="1"/>
  <c r="AL175" i="2" a="1"/>
  <c r="AK175" i="2"/>
  <c r="AU175" i="2" s="1"/>
  <c r="P175" i="2"/>
  <c r="M175" i="2"/>
  <c r="L175" i="2"/>
  <c r="K175" i="2"/>
  <c r="E175" i="2"/>
  <c r="D175" i="2"/>
  <c r="C175" i="2"/>
  <c r="I175" i="2" s="1"/>
  <c r="P174" i="2"/>
  <c r="M174" i="2"/>
  <c r="L174" i="2"/>
  <c r="K174" i="2"/>
  <c r="E174" i="2"/>
  <c r="D174" i="2"/>
  <c r="C174" i="2"/>
  <c r="I174" i="2" s="1"/>
  <c r="P173" i="2"/>
  <c r="M173" i="2"/>
  <c r="L173" i="2"/>
  <c r="N173" i="2" s="1"/>
  <c r="K173" i="2"/>
  <c r="E173" i="2"/>
  <c r="D173" i="2"/>
  <c r="C173" i="2"/>
  <c r="I173" i="2" s="1"/>
  <c r="BC172" i="2"/>
  <c r="BB172" i="2" a="1"/>
  <c r="BB172" i="2" s="1"/>
  <c r="BA172" i="2"/>
  <c r="BK172" i="2" s="1"/>
  <c r="P172" i="2"/>
  <c r="M172" i="2"/>
  <c r="L172" i="2"/>
  <c r="K172" i="2"/>
  <c r="F172" i="2"/>
  <c r="E172" i="2"/>
  <c r="D172" i="2"/>
  <c r="C172" i="2"/>
  <c r="I172" i="2" s="1"/>
  <c r="P171" i="2"/>
  <c r="N171" i="2"/>
  <c r="M171" i="2"/>
  <c r="L171" i="2"/>
  <c r="K171" i="2"/>
  <c r="E171" i="2"/>
  <c r="D171" i="2"/>
  <c r="C171" i="2"/>
  <c r="I171" i="2" s="1"/>
  <c r="P170" i="2"/>
  <c r="N170" i="2"/>
  <c r="M170" i="2"/>
  <c r="L170" i="2"/>
  <c r="K170" i="2"/>
  <c r="E170" i="2"/>
  <c r="D170" i="2"/>
  <c r="C170" i="2"/>
  <c r="I170" i="2" s="1"/>
  <c r="BK169" i="2"/>
  <c r="BC169" i="2"/>
  <c r="BB169" i="2"/>
  <c r="BB169" i="2" a="1"/>
  <c r="BD170" i="2" s="1"/>
  <c r="BG170" i="2" s="1"/>
  <c r="BA169" i="2"/>
  <c r="P169" i="2"/>
  <c r="N169" i="2"/>
  <c r="M169" i="2"/>
  <c r="L169" i="2"/>
  <c r="K169" i="2"/>
  <c r="I169" i="2"/>
  <c r="E169" i="2"/>
  <c r="D169" i="2"/>
  <c r="C169" i="2"/>
  <c r="F169" i="2" s="1"/>
  <c r="P168" i="2"/>
  <c r="M168" i="2"/>
  <c r="L168" i="2"/>
  <c r="K168" i="2"/>
  <c r="E168" i="2"/>
  <c r="D168" i="2"/>
  <c r="C168" i="2"/>
  <c r="I168" i="2" s="1"/>
  <c r="P167" i="2"/>
  <c r="M167" i="2"/>
  <c r="L167" i="2"/>
  <c r="N167" i="2" s="1"/>
  <c r="K167" i="2"/>
  <c r="E167" i="2"/>
  <c r="D167" i="2"/>
  <c r="C167" i="2"/>
  <c r="I167" i="2" s="1"/>
  <c r="BC166" i="2"/>
  <c r="BB166" i="2" a="1"/>
  <c r="BD167" i="2" s="1"/>
  <c r="BG167" i="2" s="1"/>
  <c r="BA166" i="2"/>
  <c r="BK166" i="2" s="1"/>
  <c r="AB245" i="2" s="1"/>
  <c r="AU166" i="2"/>
  <c r="AB243" i="2" s="1"/>
  <c r="AL166" i="2" a="1"/>
  <c r="AL166" i="2" s="1"/>
  <c r="AM166" i="2" s="1"/>
  <c r="AK166" i="2"/>
  <c r="V166" i="2" a="1"/>
  <c r="V166" i="2" s="1"/>
  <c r="U166" i="2"/>
  <c r="AE166" i="2" s="1"/>
  <c r="AB241" i="2" s="1"/>
  <c r="P166" i="2"/>
  <c r="M166" i="2"/>
  <c r="L166" i="2"/>
  <c r="K166" i="2"/>
  <c r="E166" i="2"/>
  <c r="D166" i="2"/>
  <c r="C166" i="2"/>
  <c r="I166" i="2" s="1"/>
  <c r="P165" i="2"/>
  <c r="M165" i="2"/>
  <c r="L165" i="2"/>
  <c r="N165" i="2" s="1"/>
  <c r="K165" i="2"/>
  <c r="F165" i="2"/>
  <c r="E165" i="2"/>
  <c r="D165" i="2"/>
  <c r="C165" i="2"/>
  <c r="I165" i="2" s="1"/>
  <c r="P164" i="2"/>
  <c r="M164" i="2"/>
  <c r="K164" i="2"/>
  <c r="E164" i="2"/>
  <c r="D164" i="2"/>
  <c r="C164" i="2"/>
  <c r="F164" i="2" s="1"/>
  <c r="P163" i="2"/>
  <c r="M163" i="2"/>
  <c r="L163" i="2"/>
  <c r="K163" i="2"/>
  <c r="F163" i="2"/>
  <c r="E163" i="2"/>
  <c r="D163" i="2"/>
  <c r="C163" i="2"/>
  <c r="I163" i="2" s="1"/>
  <c r="P162" i="2"/>
  <c r="M162" i="2"/>
  <c r="L162" i="2"/>
  <c r="N162" i="2" s="1"/>
  <c r="K162" i="2"/>
  <c r="I162" i="2"/>
  <c r="E162" i="2"/>
  <c r="D162" i="2"/>
  <c r="C162" i="2"/>
  <c r="F162" i="2" s="1"/>
  <c r="P161" i="2"/>
  <c r="M161" i="2"/>
  <c r="L161" i="2"/>
  <c r="N161" i="2" s="1"/>
  <c r="K161" i="2"/>
  <c r="E161" i="2"/>
  <c r="D161" i="2"/>
  <c r="C161" i="2"/>
  <c r="I161" i="2" s="1"/>
  <c r="P160" i="2"/>
  <c r="M160" i="2"/>
  <c r="L160" i="2"/>
  <c r="N160" i="2" s="1"/>
  <c r="K160" i="2"/>
  <c r="E160" i="2"/>
  <c r="D160" i="2"/>
  <c r="C160" i="2"/>
  <c r="F160" i="2" s="1"/>
  <c r="P159" i="2"/>
  <c r="M159" i="2"/>
  <c r="L159" i="2"/>
  <c r="K159" i="2"/>
  <c r="F159" i="2"/>
  <c r="E159" i="2"/>
  <c r="D159" i="2"/>
  <c r="C159" i="2"/>
  <c r="I159" i="2" s="1"/>
  <c r="P158" i="2"/>
  <c r="M158" i="2"/>
  <c r="L158" i="2"/>
  <c r="K158" i="2"/>
  <c r="I158" i="2"/>
  <c r="E158" i="2"/>
  <c r="D158" i="2"/>
  <c r="C158" i="2"/>
  <c r="F158" i="2" s="1"/>
  <c r="P157" i="2"/>
  <c r="M157" i="2"/>
  <c r="L157" i="2"/>
  <c r="N157" i="2" s="1"/>
  <c r="K157" i="2"/>
  <c r="E157" i="2"/>
  <c r="D157" i="2"/>
  <c r="C157" i="2"/>
  <c r="I157" i="2" s="1"/>
  <c r="P156" i="2"/>
  <c r="M156" i="2"/>
  <c r="L156" i="2"/>
  <c r="K156" i="2"/>
  <c r="E156" i="2"/>
  <c r="D156" i="2"/>
  <c r="C156" i="2"/>
  <c r="F156" i="2" s="1"/>
  <c r="P155" i="2"/>
  <c r="M155" i="2"/>
  <c r="L155" i="2"/>
  <c r="K155" i="2"/>
  <c r="F155" i="2"/>
  <c r="E155" i="2"/>
  <c r="D155" i="2"/>
  <c r="C155" i="2"/>
  <c r="I155" i="2" s="1"/>
  <c r="P154" i="2"/>
  <c r="M154" i="2"/>
  <c r="L154" i="2"/>
  <c r="N154" i="2" s="1"/>
  <c r="K154" i="2"/>
  <c r="I154" i="2"/>
  <c r="E154" i="2"/>
  <c r="D154" i="2"/>
  <c r="C154" i="2"/>
  <c r="F154" i="2" s="1"/>
  <c r="P153" i="2"/>
  <c r="M153" i="2"/>
  <c r="L153" i="2"/>
  <c r="N153" i="2" s="1"/>
  <c r="K153" i="2"/>
  <c r="E153" i="2"/>
  <c r="D153" i="2"/>
  <c r="C153" i="2"/>
  <c r="I153" i="2" s="1"/>
  <c r="P152" i="2"/>
  <c r="M152" i="2"/>
  <c r="L152" i="2"/>
  <c r="N152" i="2" s="1"/>
  <c r="K152" i="2"/>
  <c r="E152" i="2"/>
  <c r="D152" i="2"/>
  <c r="C152" i="2"/>
  <c r="F152" i="2" s="1"/>
  <c r="P151" i="2"/>
  <c r="M151" i="2"/>
  <c r="L151" i="2"/>
  <c r="K151" i="2"/>
  <c r="F151" i="2"/>
  <c r="E151" i="2"/>
  <c r="D151" i="2"/>
  <c r="C151" i="2"/>
  <c r="I151" i="2" s="1"/>
  <c r="P150" i="2"/>
  <c r="M150" i="2"/>
  <c r="L150" i="2"/>
  <c r="K150" i="2"/>
  <c r="I150" i="2"/>
  <c r="E150" i="2"/>
  <c r="D150" i="2"/>
  <c r="C150" i="2"/>
  <c r="F150" i="2" s="1"/>
  <c r="P149" i="2"/>
  <c r="M149" i="2"/>
  <c r="L149" i="2"/>
  <c r="N149" i="2" s="1"/>
  <c r="K149" i="2"/>
  <c r="E149" i="2"/>
  <c r="D149" i="2"/>
  <c r="C149" i="2"/>
  <c r="I149" i="2" s="1"/>
  <c r="P148" i="2"/>
  <c r="M148" i="2"/>
  <c r="L148" i="2"/>
  <c r="K148" i="2"/>
  <c r="E148" i="2"/>
  <c r="D148" i="2"/>
  <c r="C148" i="2"/>
  <c r="F148" i="2" s="1"/>
  <c r="P147" i="2"/>
  <c r="M147" i="2"/>
  <c r="L147" i="2"/>
  <c r="K147" i="2"/>
  <c r="F147" i="2"/>
  <c r="E147" i="2"/>
  <c r="D147" i="2"/>
  <c r="C147" i="2"/>
  <c r="I147" i="2" s="1"/>
  <c r="P146" i="2"/>
  <c r="M146" i="2"/>
  <c r="L146" i="2"/>
  <c r="N146" i="2" s="1"/>
  <c r="K146" i="2"/>
  <c r="I146" i="2"/>
  <c r="E146" i="2"/>
  <c r="D146" i="2"/>
  <c r="C146" i="2"/>
  <c r="F146" i="2" s="1"/>
  <c r="P145" i="2"/>
  <c r="M145" i="2"/>
  <c r="L145" i="2"/>
  <c r="N145" i="2" s="1"/>
  <c r="K145" i="2"/>
  <c r="E145" i="2"/>
  <c r="D145" i="2"/>
  <c r="C145" i="2"/>
  <c r="I145" i="2" s="1"/>
  <c r="P144" i="2"/>
  <c r="M144" i="2"/>
  <c r="L144" i="2"/>
  <c r="N144" i="2" s="1"/>
  <c r="K144" i="2"/>
  <c r="E144" i="2"/>
  <c r="D144" i="2"/>
  <c r="C144" i="2"/>
  <c r="F144" i="2" s="1"/>
  <c r="P143" i="2"/>
  <c r="M143" i="2"/>
  <c r="L143" i="2"/>
  <c r="K143" i="2"/>
  <c r="F143" i="2"/>
  <c r="E143" i="2"/>
  <c r="D143" i="2"/>
  <c r="C143" i="2"/>
  <c r="I143" i="2" s="1"/>
  <c r="P142" i="2"/>
  <c r="M142" i="2"/>
  <c r="L142" i="2"/>
  <c r="K142" i="2"/>
  <c r="I142" i="2"/>
  <c r="E142" i="2"/>
  <c r="D142" i="2"/>
  <c r="C142" i="2"/>
  <c r="F142" i="2" s="1"/>
  <c r="P141" i="2"/>
  <c r="M141" i="2"/>
  <c r="L141" i="2"/>
  <c r="N141" i="2" s="1"/>
  <c r="K141" i="2"/>
  <c r="E141" i="2"/>
  <c r="D141" i="2"/>
  <c r="C141" i="2"/>
  <c r="I141" i="2" s="1"/>
  <c r="P140" i="2"/>
  <c r="M140" i="2"/>
  <c r="L140" i="2"/>
  <c r="K140" i="2"/>
  <c r="E140" i="2"/>
  <c r="D140" i="2"/>
  <c r="C140" i="2"/>
  <c r="F140" i="2" s="1"/>
  <c r="P139" i="2"/>
  <c r="M139" i="2"/>
  <c r="L139" i="2"/>
  <c r="K139" i="2"/>
  <c r="F139" i="2"/>
  <c r="E139" i="2"/>
  <c r="D139" i="2"/>
  <c r="C139" i="2"/>
  <c r="I139" i="2" s="1"/>
  <c r="P138" i="2"/>
  <c r="M138" i="2"/>
  <c r="L138" i="2"/>
  <c r="N138" i="2" s="1"/>
  <c r="K138" i="2"/>
  <c r="I138" i="2"/>
  <c r="E138" i="2"/>
  <c r="D138" i="2"/>
  <c r="C138" i="2"/>
  <c r="F138" i="2" s="1"/>
  <c r="P137" i="2"/>
  <c r="M137" i="2"/>
  <c r="L137" i="2"/>
  <c r="N137" i="2" s="1"/>
  <c r="K137" i="2"/>
  <c r="E137" i="2"/>
  <c r="D137" i="2"/>
  <c r="C137" i="2"/>
  <c r="I137" i="2" s="1"/>
  <c r="P136" i="2"/>
  <c r="M136" i="2"/>
  <c r="L136" i="2"/>
  <c r="N136" i="2" s="1"/>
  <c r="K136" i="2"/>
  <c r="E136" i="2"/>
  <c r="D136" i="2"/>
  <c r="C136" i="2"/>
  <c r="F136" i="2" s="1"/>
  <c r="P135" i="2"/>
  <c r="M135" i="2"/>
  <c r="L135" i="2"/>
  <c r="K135" i="2"/>
  <c r="F135" i="2"/>
  <c r="E135" i="2"/>
  <c r="D135" i="2"/>
  <c r="C135" i="2"/>
  <c r="I135" i="2" s="1"/>
  <c r="P134" i="2"/>
  <c r="M134" i="2"/>
  <c r="L134" i="2"/>
  <c r="K134" i="2"/>
  <c r="I134" i="2"/>
  <c r="E134" i="2"/>
  <c r="D134" i="2"/>
  <c r="C134" i="2"/>
  <c r="F134" i="2" s="1"/>
  <c r="P133" i="2"/>
  <c r="M133" i="2"/>
  <c r="L133" i="2"/>
  <c r="N133" i="2" s="1"/>
  <c r="K133" i="2"/>
  <c r="E133" i="2"/>
  <c r="D133" i="2"/>
  <c r="C133" i="2"/>
  <c r="I133" i="2" s="1"/>
  <c r="P132" i="2"/>
  <c r="M132" i="2"/>
  <c r="L132" i="2"/>
  <c r="K132" i="2"/>
  <c r="E132" i="2"/>
  <c r="D132" i="2"/>
  <c r="C132" i="2"/>
  <c r="F132" i="2" s="1"/>
  <c r="P131" i="2"/>
  <c r="M131" i="2"/>
  <c r="L131" i="2"/>
  <c r="K131" i="2"/>
  <c r="F131" i="2"/>
  <c r="E131" i="2"/>
  <c r="D131" i="2"/>
  <c r="C131" i="2"/>
  <c r="I131" i="2" s="1"/>
  <c r="P130" i="2"/>
  <c r="M130" i="2"/>
  <c r="L130" i="2"/>
  <c r="N130" i="2" s="1"/>
  <c r="K130" i="2"/>
  <c r="I130" i="2"/>
  <c r="E130" i="2"/>
  <c r="D130" i="2"/>
  <c r="C130" i="2"/>
  <c r="F130" i="2" s="1"/>
  <c r="P129" i="2"/>
  <c r="M129" i="2"/>
  <c r="L129" i="2"/>
  <c r="N129" i="2" s="1"/>
  <c r="K129" i="2"/>
  <c r="E129" i="2"/>
  <c r="D129" i="2"/>
  <c r="C129" i="2"/>
  <c r="I129" i="2" s="1"/>
  <c r="P128" i="2"/>
  <c r="M128" i="2"/>
  <c r="L128" i="2"/>
  <c r="N128" i="2" s="1"/>
  <c r="K128" i="2"/>
  <c r="E128" i="2"/>
  <c r="D128" i="2"/>
  <c r="C128" i="2"/>
  <c r="F128" i="2" s="1"/>
  <c r="P127" i="2"/>
  <c r="M127" i="2"/>
  <c r="L127" i="2"/>
  <c r="N127" i="2" s="1"/>
  <c r="K127" i="2"/>
  <c r="F127" i="2"/>
  <c r="E127" i="2"/>
  <c r="D127" i="2"/>
  <c r="C127" i="2"/>
  <c r="I127" i="2" s="1"/>
  <c r="P126" i="2"/>
  <c r="M126" i="2"/>
  <c r="L126" i="2"/>
  <c r="K126" i="2"/>
  <c r="I126" i="2"/>
  <c r="E126" i="2"/>
  <c r="D126" i="2"/>
  <c r="C126" i="2"/>
  <c r="F126" i="2" s="1"/>
  <c r="M125" i="2"/>
  <c r="L125" i="2"/>
  <c r="N125" i="2" s="1"/>
  <c r="K125" i="2"/>
  <c r="P125" i="2"/>
  <c r="F125" i="2"/>
  <c r="E125" i="2"/>
  <c r="D125" i="2"/>
  <c r="C125" i="2"/>
  <c r="I125" i="2" s="1"/>
  <c r="P124" i="2"/>
  <c r="M124" i="2"/>
  <c r="L124" i="2"/>
  <c r="K124" i="2"/>
  <c r="E124" i="2"/>
  <c r="D124" i="2"/>
  <c r="C124" i="2"/>
  <c r="I124" i="2" s="1"/>
  <c r="M123" i="2"/>
  <c r="L123" i="2"/>
  <c r="K123" i="2"/>
  <c r="P123" i="2"/>
  <c r="F123" i="2"/>
  <c r="E123" i="2"/>
  <c r="D123" i="2"/>
  <c r="C123" i="2"/>
  <c r="I123" i="2" s="1"/>
  <c r="M122" i="2"/>
  <c r="L122" i="2"/>
  <c r="K122" i="2"/>
  <c r="P122" i="2"/>
  <c r="E122" i="2"/>
  <c r="D122" i="2"/>
  <c r="C122" i="2"/>
  <c r="I122" i="2" s="1"/>
  <c r="M121" i="2"/>
  <c r="L121" i="2"/>
  <c r="K121" i="2"/>
  <c r="P121" i="2"/>
  <c r="F121" i="2"/>
  <c r="E121" i="2"/>
  <c r="D121" i="2"/>
  <c r="C121" i="2"/>
  <c r="I121" i="2" s="1"/>
  <c r="P120" i="2"/>
  <c r="M120" i="2"/>
  <c r="L120" i="2"/>
  <c r="K120" i="2"/>
  <c r="E120" i="2"/>
  <c r="D120" i="2"/>
  <c r="C120" i="2"/>
  <c r="F120" i="2" s="1"/>
  <c r="P119" i="2"/>
  <c r="M119" i="2"/>
  <c r="L119" i="2"/>
  <c r="N119" i="2" s="1"/>
  <c r="K119" i="2"/>
  <c r="E119" i="2"/>
  <c r="D119" i="2"/>
  <c r="C119" i="2"/>
  <c r="F119" i="2" s="1"/>
  <c r="T118" i="2"/>
  <c r="M118" i="2"/>
  <c r="L118" i="2"/>
  <c r="K118" i="2"/>
  <c r="T119" i="2"/>
  <c r="E118" i="2"/>
  <c r="D118" i="2"/>
  <c r="C118" i="2"/>
  <c r="P117" i="2"/>
  <c r="M117" i="2"/>
  <c r="L117" i="2"/>
  <c r="K117" i="2"/>
  <c r="X122" i="2"/>
  <c r="E117" i="2"/>
  <c r="D117" i="2"/>
  <c r="C117" i="2"/>
  <c r="F117" i="2" s="1"/>
  <c r="P116" i="2"/>
  <c r="M116" i="2"/>
  <c r="L116" i="2"/>
  <c r="K116" i="2"/>
  <c r="E116" i="2"/>
  <c r="D116" i="2"/>
  <c r="C116" i="2"/>
  <c r="I116" i="2" s="1"/>
  <c r="P115" i="2"/>
  <c r="M115" i="2"/>
  <c r="L115" i="2"/>
  <c r="K115" i="2"/>
  <c r="E115" i="2"/>
  <c r="D115" i="2"/>
  <c r="C115" i="2"/>
  <c r="I115" i="2" s="1"/>
  <c r="P114" i="2"/>
  <c r="M114" i="2"/>
  <c r="L114" i="2"/>
  <c r="K114" i="2"/>
  <c r="E114" i="2"/>
  <c r="D114" i="2"/>
  <c r="C114" i="2"/>
  <c r="F114" i="2" s="1"/>
  <c r="P113" i="2"/>
  <c r="M113" i="2"/>
  <c r="L113" i="2"/>
  <c r="N113" i="2" s="1"/>
  <c r="K113" i="2"/>
  <c r="E113" i="2"/>
  <c r="D113" i="2"/>
  <c r="C113" i="2"/>
  <c r="I113" i="2" s="1"/>
  <c r="P112" i="2"/>
  <c r="M112" i="2"/>
  <c r="L112" i="2"/>
  <c r="K112" i="2"/>
  <c r="E112" i="2"/>
  <c r="D112" i="2"/>
  <c r="C112" i="2"/>
  <c r="I112" i="2" s="1"/>
  <c r="P111" i="2"/>
  <c r="M111" i="2"/>
  <c r="L111" i="2"/>
  <c r="N112" i="2" s="1"/>
  <c r="K111" i="2"/>
  <c r="E111" i="2"/>
  <c r="D111" i="2"/>
  <c r="C111" i="2"/>
  <c r="F111" i="2" s="1"/>
  <c r="P110" i="2"/>
  <c r="M110" i="2"/>
  <c r="L110" i="2"/>
  <c r="K110" i="2"/>
  <c r="E110" i="2"/>
  <c r="D110" i="2"/>
  <c r="C110" i="2"/>
  <c r="I110" i="2" s="1"/>
  <c r="P109" i="2"/>
  <c r="M109" i="2"/>
  <c r="L109" i="2"/>
  <c r="K109" i="2"/>
  <c r="E109" i="2"/>
  <c r="D109" i="2"/>
  <c r="C109" i="2"/>
  <c r="I109" i="2" s="1"/>
  <c r="P108" i="2"/>
  <c r="M108" i="2"/>
  <c r="L108" i="2"/>
  <c r="K108" i="2"/>
  <c r="E108" i="2"/>
  <c r="D108" i="2"/>
  <c r="C108" i="2"/>
  <c r="F108" i="2" s="1"/>
  <c r="P107" i="2"/>
  <c r="M107" i="2"/>
  <c r="L107" i="2"/>
  <c r="N108" i="2" s="1"/>
  <c r="K107" i="2"/>
  <c r="E107" i="2"/>
  <c r="D107" i="2"/>
  <c r="C107" i="2"/>
  <c r="I107" i="2" s="1"/>
  <c r="P106" i="2"/>
  <c r="M106" i="2"/>
  <c r="L106" i="2"/>
  <c r="K106" i="2"/>
  <c r="F106" i="2"/>
  <c r="E106" i="2"/>
  <c r="D106" i="2"/>
  <c r="C106" i="2"/>
  <c r="I106" i="2" s="1"/>
  <c r="P105" i="2"/>
  <c r="N105" i="2"/>
  <c r="M105" i="2"/>
  <c r="L105" i="2"/>
  <c r="K105" i="2"/>
  <c r="I105" i="2"/>
  <c r="E105" i="2"/>
  <c r="D105" i="2"/>
  <c r="C105" i="2"/>
  <c r="F105" i="2" s="1"/>
  <c r="P104" i="2"/>
  <c r="M104" i="2"/>
  <c r="L104" i="2"/>
  <c r="K104" i="2"/>
  <c r="E104" i="2"/>
  <c r="D104" i="2"/>
  <c r="C104" i="2"/>
  <c r="I104" i="2" s="1"/>
  <c r="P103" i="2"/>
  <c r="M103" i="2"/>
  <c r="L103" i="2"/>
  <c r="N104" i="2" s="1"/>
  <c r="K103" i="2"/>
  <c r="F103" i="2"/>
  <c r="E103" i="2"/>
  <c r="D103" i="2"/>
  <c r="C103" i="2"/>
  <c r="I103" i="2" s="1"/>
  <c r="P102" i="2"/>
  <c r="M102" i="2"/>
  <c r="L102" i="2"/>
  <c r="K102" i="2"/>
  <c r="F102" i="2"/>
  <c r="E102" i="2"/>
  <c r="D102" i="2"/>
  <c r="C102" i="2"/>
  <c r="I102" i="2" s="1"/>
  <c r="P101" i="2"/>
  <c r="M101" i="2"/>
  <c r="L101" i="2"/>
  <c r="K101" i="2"/>
  <c r="E101" i="2"/>
  <c r="D101" i="2"/>
  <c r="C101" i="2"/>
  <c r="I101" i="2" s="1"/>
  <c r="P100" i="2"/>
  <c r="M100" i="2"/>
  <c r="L100" i="2"/>
  <c r="K100" i="2"/>
  <c r="E100" i="2"/>
  <c r="D100" i="2"/>
  <c r="C100" i="2"/>
  <c r="I100" i="2" s="1"/>
  <c r="P99" i="2"/>
  <c r="M99" i="2"/>
  <c r="L99" i="2"/>
  <c r="K99" i="2"/>
  <c r="F99" i="2"/>
  <c r="E99" i="2"/>
  <c r="D99" i="2"/>
  <c r="C99" i="2"/>
  <c r="I99" i="2" s="1"/>
  <c r="P98" i="2"/>
  <c r="M98" i="2"/>
  <c r="L98" i="2"/>
  <c r="K98" i="2"/>
  <c r="E98" i="2"/>
  <c r="D98" i="2"/>
  <c r="C98" i="2"/>
  <c r="F98" i="2" s="1"/>
  <c r="P97" i="2"/>
  <c r="M97" i="2"/>
  <c r="L97" i="2"/>
  <c r="N97" i="2" s="1"/>
  <c r="K97" i="2"/>
  <c r="E97" i="2"/>
  <c r="D97" i="2"/>
  <c r="C97" i="2"/>
  <c r="I97" i="2" s="1"/>
  <c r="P96" i="2"/>
  <c r="M96" i="2"/>
  <c r="L96" i="2"/>
  <c r="N96" i="2" s="1"/>
  <c r="K96" i="2"/>
  <c r="E96" i="2"/>
  <c r="D96" i="2"/>
  <c r="C96" i="2"/>
  <c r="F96" i="2" s="1"/>
  <c r="P95" i="2"/>
  <c r="M95" i="2"/>
  <c r="L95" i="2"/>
  <c r="N95" i="2" s="1"/>
  <c r="K95" i="2"/>
  <c r="F95" i="2"/>
  <c r="E95" i="2"/>
  <c r="D95" i="2"/>
  <c r="C95" i="2"/>
  <c r="I95" i="2" s="1"/>
  <c r="P94" i="2"/>
  <c r="M94" i="2"/>
  <c r="L94" i="2"/>
  <c r="K94" i="2"/>
  <c r="E94" i="2"/>
  <c r="D94" i="2"/>
  <c r="C94" i="2"/>
  <c r="F94" i="2" s="1"/>
  <c r="P93" i="2"/>
  <c r="M93" i="2"/>
  <c r="L93" i="2"/>
  <c r="N93" i="2" s="1"/>
  <c r="K93" i="2"/>
  <c r="E93" i="2"/>
  <c r="D93" i="2"/>
  <c r="C93" i="2"/>
  <c r="I93" i="2" s="1"/>
  <c r="P92" i="2"/>
  <c r="M92" i="2"/>
  <c r="L92" i="2"/>
  <c r="K92" i="2"/>
  <c r="E92" i="2"/>
  <c r="D92" i="2"/>
  <c r="C92" i="2"/>
  <c r="F92" i="2" s="1"/>
  <c r="P91" i="2"/>
  <c r="M91" i="2"/>
  <c r="L91" i="2"/>
  <c r="N91" i="2" s="1"/>
  <c r="K91" i="2"/>
  <c r="F91" i="2"/>
  <c r="E91" i="2"/>
  <c r="D91" i="2"/>
  <c r="C91" i="2"/>
  <c r="I91" i="2" s="1"/>
  <c r="P90" i="2"/>
  <c r="M90" i="2"/>
  <c r="L90" i="2"/>
  <c r="K90" i="2"/>
  <c r="E90" i="2"/>
  <c r="D90" i="2"/>
  <c r="C90" i="2"/>
  <c r="F90" i="2" s="1"/>
  <c r="P89" i="2"/>
  <c r="M89" i="2"/>
  <c r="L89" i="2"/>
  <c r="N89" i="2" s="1"/>
  <c r="K89" i="2"/>
  <c r="E89" i="2"/>
  <c r="D89" i="2"/>
  <c r="C89" i="2"/>
  <c r="I89" i="2" s="1"/>
  <c r="P88" i="2"/>
  <c r="M88" i="2"/>
  <c r="L88" i="2"/>
  <c r="N88" i="2" s="1"/>
  <c r="K88" i="2"/>
  <c r="E88" i="2"/>
  <c r="D88" i="2"/>
  <c r="C88" i="2"/>
  <c r="F88" i="2" s="1"/>
  <c r="P87" i="2"/>
  <c r="M87" i="2"/>
  <c r="L87" i="2"/>
  <c r="N87" i="2" s="1"/>
  <c r="K87" i="2"/>
  <c r="F87" i="2"/>
  <c r="E87" i="2"/>
  <c r="D87" i="2"/>
  <c r="C87" i="2"/>
  <c r="I87" i="2" s="1"/>
  <c r="P86" i="2"/>
  <c r="M86" i="2"/>
  <c r="L86" i="2"/>
  <c r="K86" i="2"/>
  <c r="E86" i="2"/>
  <c r="D86" i="2"/>
  <c r="C86" i="2"/>
  <c r="F86" i="2" s="1"/>
  <c r="P85" i="2"/>
  <c r="M85" i="2"/>
  <c r="L85" i="2"/>
  <c r="N85" i="2" s="1"/>
  <c r="K85" i="2"/>
  <c r="E85" i="2"/>
  <c r="D85" i="2"/>
  <c r="C85" i="2"/>
  <c r="I85" i="2" s="1"/>
  <c r="P84" i="2"/>
  <c r="M84" i="2"/>
  <c r="L84" i="2"/>
  <c r="K84" i="2"/>
  <c r="E84" i="2"/>
  <c r="D84" i="2"/>
  <c r="C84" i="2"/>
  <c r="F84" i="2" s="1"/>
  <c r="P83" i="2"/>
  <c r="M83" i="2"/>
  <c r="L83" i="2"/>
  <c r="K83" i="2"/>
  <c r="E83" i="2"/>
  <c r="D83" i="2"/>
  <c r="C83" i="2"/>
  <c r="I83" i="2" s="1"/>
  <c r="P82" i="2"/>
  <c r="M82" i="2"/>
  <c r="L82" i="2"/>
  <c r="K82" i="2"/>
  <c r="F82" i="2"/>
  <c r="E82" i="2"/>
  <c r="D82" i="2"/>
  <c r="C82" i="2"/>
  <c r="I82" i="2" s="1"/>
  <c r="P81" i="2"/>
  <c r="M81" i="2"/>
  <c r="L81" i="2"/>
  <c r="K81" i="2"/>
  <c r="E81" i="2"/>
  <c r="D81" i="2"/>
  <c r="C81" i="2"/>
  <c r="I81" i="2" s="1"/>
  <c r="P80" i="2"/>
  <c r="M80" i="2"/>
  <c r="L80" i="2"/>
  <c r="K80" i="2"/>
  <c r="E80" i="2"/>
  <c r="D80" i="2"/>
  <c r="C80" i="2"/>
  <c r="I80" i="2" s="1"/>
  <c r="P79" i="2"/>
  <c r="M79" i="2"/>
  <c r="L79" i="2"/>
  <c r="K79" i="2"/>
  <c r="E79" i="2"/>
  <c r="D79" i="2"/>
  <c r="C79" i="2"/>
  <c r="I79" i="2" s="1"/>
  <c r="P78" i="2"/>
  <c r="M78" i="2"/>
  <c r="L78" i="2"/>
  <c r="K78" i="2"/>
  <c r="F78" i="2"/>
  <c r="E78" i="2"/>
  <c r="D78" i="2"/>
  <c r="C78" i="2"/>
  <c r="I78" i="2" s="1"/>
  <c r="P77" i="2"/>
  <c r="M77" i="2"/>
  <c r="L77" i="2"/>
  <c r="K77" i="2"/>
  <c r="E77" i="2"/>
  <c r="D77" i="2"/>
  <c r="C77" i="2"/>
  <c r="I77" i="2" s="1"/>
  <c r="P76" i="2"/>
  <c r="M76" i="2"/>
  <c r="L76" i="2"/>
  <c r="K76" i="2"/>
  <c r="F76" i="2"/>
  <c r="E76" i="2"/>
  <c r="D76" i="2"/>
  <c r="C76" i="2"/>
  <c r="I76" i="2" s="1"/>
  <c r="P75" i="2"/>
  <c r="M75" i="2"/>
  <c r="L75" i="2"/>
  <c r="K75" i="2"/>
  <c r="E75" i="2"/>
  <c r="D75" i="2"/>
  <c r="C75" i="2"/>
  <c r="I75" i="2" s="1"/>
  <c r="P74" i="2"/>
  <c r="M74" i="2"/>
  <c r="L74" i="2"/>
  <c r="K74" i="2"/>
  <c r="E74" i="2"/>
  <c r="D74" i="2"/>
  <c r="C74" i="2"/>
  <c r="I74" i="2" s="1"/>
  <c r="P73" i="2"/>
  <c r="M73" i="2"/>
  <c r="L73" i="2"/>
  <c r="N73" i="2" s="1"/>
  <c r="K73" i="2"/>
  <c r="E73" i="2"/>
  <c r="D73" i="2"/>
  <c r="C73" i="2"/>
  <c r="I73" i="2" s="1"/>
  <c r="P72" i="2"/>
  <c r="M72" i="2"/>
  <c r="L72" i="2"/>
  <c r="K72" i="2"/>
  <c r="E72" i="2"/>
  <c r="D72" i="2"/>
  <c r="C72" i="2"/>
  <c r="I72" i="2" s="1"/>
  <c r="P71" i="2"/>
  <c r="M71" i="2"/>
  <c r="L71" i="2"/>
  <c r="K71" i="2"/>
  <c r="E71" i="2"/>
  <c r="D71" i="2"/>
  <c r="C71" i="2"/>
  <c r="I71" i="2" s="1"/>
  <c r="P70" i="2"/>
  <c r="M70" i="2"/>
  <c r="L70" i="2"/>
  <c r="K70" i="2"/>
  <c r="F70" i="2"/>
  <c r="E70" i="2"/>
  <c r="D70" i="2"/>
  <c r="C70" i="2"/>
  <c r="I70" i="2" s="1"/>
  <c r="P69" i="2"/>
  <c r="M69" i="2"/>
  <c r="L69" i="2"/>
  <c r="K69" i="2"/>
  <c r="E69" i="2"/>
  <c r="D69" i="2"/>
  <c r="C69" i="2"/>
  <c r="I69" i="2" s="1"/>
  <c r="P68" i="2"/>
  <c r="M68" i="2"/>
  <c r="L68" i="2"/>
  <c r="K68" i="2"/>
  <c r="E68" i="2"/>
  <c r="D68" i="2"/>
  <c r="C68" i="2"/>
  <c r="I68" i="2" s="1"/>
  <c r="P67" i="2"/>
  <c r="M67" i="2"/>
  <c r="L67" i="2"/>
  <c r="K67" i="2"/>
  <c r="E67" i="2"/>
  <c r="D67" i="2"/>
  <c r="C67" i="2"/>
  <c r="I67" i="2" s="1"/>
  <c r="P66" i="2"/>
  <c r="M66" i="2"/>
  <c r="L66" i="2"/>
  <c r="K66" i="2"/>
  <c r="E66" i="2"/>
  <c r="D66" i="2"/>
  <c r="C66" i="2"/>
  <c r="I66" i="2" s="1"/>
  <c r="P65" i="2"/>
  <c r="M65" i="2"/>
  <c r="L65" i="2"/>
  <c r="N65" i="2" s="1"/>
  <c r="K65" i="2"/>
  <c r="E65" i="2"/>
  <c r="D65" i="2"/>
  <c r="C65" i="2"/>
  <c r="I65" i="2" s="1"/>
  <c r="P64" i="2"/>
  <c r="M64" i="2"/>
  <c r="L64" i="2"/>
  <c r="K64" i="2"/>
  <c r="F64" i="2"/>
  <c r="E64" i="2"/>
  <c r="D64" i="2"/>
  <c r="C64" i="2"/>
  <c r="I64" i="2" s="1"/>
  <c r="P63" i="2"/>
  <c r="M63" i="2"/>
  <c r="L63" i="2"/>
  <c r="N63" i="2" s="1"/>
  <c r="K63" i="2"/>
  <c r="E63" i="2"/>
  <c r="D63" i="2"/>
  <c r="C63" i="2"/>
  <c r="I63" i="2" s="1"/>
  <c r="P62" i="2"/>
  <c r="M62" i="2"/>
  <c r="L62" i="2"/>
  <c r="N62" i="2" s="1"/>
  <c r="K62" i="2"/>
  <c r="E62" i="2"/>
  <c r="D62" i="2"/>
  <c r="C62" i="2"/>
  <c r="I62" i="2" s="1"/>
  <c r="P61" i="2"/>
  <c r="M61" i="2"/>
  <c r="L61" i="2"/>
  <c r="K61" i="2"/>
  <c r="I61" i="2"/>
  <c r="E61" i="2"/>
  <c r="D61" i="2"/>
  <c r="C61" i="2"/>
  <c r="F61" i="2" s="1"/>
  <c r="P60" i="2"/>
  <c r="M60" i="2"/>
  <c r="L60" i="2"/>
  <c r="K60" i="2"/>
  <c r="F60" i="2"/>
  <c r="E60" i="2"/>
  <c r="D60" i="2"/>
  <c r="C60" i="2"/>
  <c r="I60" i="2" s="1"/>
  <c r="P59" i="2"/>
  <c r="M59" i="2"/>
  <c r="L59" i="2"/>
  <c r="K59" i="2"/>
  <c r="E59" i="2"/>
  <c r="D59" i="2"/>
  <c r="C59" i="2"/>
  <c r="F59" i="2" s="1"/>
  <c r="P58" i="2"/>
  <c r="M58" i="2"/>
  <c r="L58" i="2"/>
  <c r="K58" i="2"/>
  <c r="E58" i="2"/>
  <c r="D58" i="2"/>
  <c r="C58" i="2"/>
  <c r="I58" i="2" s="1"/>
  <c r="P57" i="2"/>
  <c r="N57" i="2"/>
  <c r="M57" i="2"/>
  <c r="L57" i="2"/>
  <c r="K57" i="2"/>
  <c r="I57" i="2"/>
  <c r="E57" i="2"/>
  <c r="D57" i="2"/>
  <c r="C57" i="2"/>
  <c r="F57" i="2" s="1"/>
  <c r="P56" i="2"/>
  <c r="M56" i="2"/>
  <c r="L56" i="2"/>
  <c r="K56" i="2"/>
  <c r="F56" i="2"/>
  <c r="E56" i="2"/>
  <c r="D56" i="2"/>
  <c r="C56" i="2"/>
  <c r="I56" i="2" s="1"/>
  <c r="P55" i="2"/>
  <c r="N55" i="2"/>
  <c r="M55" i="2"/>
  <c r="L55" i="2"/>
  <c r="K55" i="2"/>
  <c r="E55" i="2"/>
  <c r="D55" i="2"/>
  <c r="C55" i="2"/>
  <c r="F55" i="2" s="1"/>
  <c r="P54" i="2"/>
  <c r="M54" i="2"/>
  <c r="L54" i="2"/>
  <c r="K54" i="2"/>
  <c r="E54" i="2"/>
  <c r="D54" i="2"/>
  <c r="C54" i="2"/>
  <c r="I54" i="2" s="1"/>
  <c r="P53" i="2"/>
  <c r="M53" i="2"/>
  <c r="L53" i="2"/>
  <c r="K53" i="2"/>
  <c r="I53" i="2"/>
  <c r="E53" i="2"/>
  <c r="D53" i="2"/>
  <c r="C53" i="2"/>
  <c r="F53" i="2" s="1"/>
  <c r="P52" i="2"/>
  <c r="M52" i="2"/>
  <c r="L52" i="2"/>
  <c r="K52" i="2"/>
  <c r="F52" i="2"/>
  <c r="E52" i="2"/>
  <c r="D52" i="2"/>
  <c r="C52" i="2"/>
  <c r="I52" i="2" s="1"/>
  <c r="P51" i="2"/>
  <c r="M51" i="2"/>
  <c r="L51" i="2"/>
  <c r="K51" i="2"/>
  <c r="E51" i="2"/>
  <c r="D51" i="2"/>
  <c r="C51" i="2"/>
  <c r="F51" i="2" s="1"/>
  <c r="P50" i="2"/>
  <c r="M50" i="2"/>
  <c r="L50" i="2"/>
  <c r="K50" i="2"/>
  <c r="E50" i="2"/>
  <c r="D50" i="2"/>
  <c r="C50" i="2"/>
  <c r="I50" i="2" s="1"/>
  <c r="P49" i="2"/>
  <c r="N49" i="2"/>
  <c r="M49" i="2"/>
  <c r="L49" i="2"/>
  <c r="K49" i="2"/>
  <c r="I49" i="2"/>
  <c r="E49" i="2"/>
  <c r="D49" i="2"/>
  <c r="C49" i="2"/>
  <c r="F49" i="2" s="1"/>
  <c r="P48" i="2"/>
  <c r="M48" i="2"/>
  <c r="L48" i="2"/>
  <c r="K48" i="2"/>
  <c r="F48" i="2"/>
  <c r="E48" i="2"/>
  <c r="D48" i="2"/>
  <c r="C48" i="2"/>
  <c r="I48" i="2" s="1"/>
  <c r="P47" i="2"/>
  <c r="N47" i="2"/>
  <c r="M47" i="2"/>
  <c r="L47" i="2"/>
  <c r="K47" i="2"/>
  <c r="E47" i="2"/>
  <c r="D47" i="2"/>
  <c r="C47" i="2"/>
  <c r="F47" i="2" s="1"/>
  <c r="P46" i="2"/>
  <c r="M46" i="2"/>
  <c r="L46" i="2"/>
  <c r="K46" i="2"/>
  <c r="E46" i="2"/>
  <c r="D46" i="2"/>
  <c r="C46" i="2"/>
  <c r="I46" i="2" s="1"/>
  <c r="P45" i="2"/>
  <c r="M45" i="2"/>
  <c r="L45" i="2"/>
  <c r="K45" i="2"/>
  <c r="I45" i="2"/>
  <c r="E45" i="2"/>
  <c r="D45" i="2"/>
  <c r="C45" i="2"/>
  <c r="F45" i="2" s="1"/>
  <c r="P44" i="2"/>
  <c r="M44" i="2"/>
  <c r="L44" i="2"/>
  <c r="K44" i="2"/>
  <c r="F44" i="2"/>
  <c r="E44" i="2"/>
  <c r="D44" i="2"/>
  <c r="C44" i="2"/>
  <c r="I44" i="2" s="1"/>
  <c r="P43" i="2"/>
  <c r="M43" i="2"/>
  <c r="L43" i="2"/>
  <c r="K43" i="2"/>
  <c r="E43" i="2"/>
  <c r="D43" i="2"/>
  <c r="C43" i="2"/>
  <c r="F43" i="2" s="1"/>
  <c r="P42" i="2"/>
  <c r="M42" i="2"/>
  <c r="L42" i="2"/>
  <c r="K42" i="2"/>
  <c r="E42" i="2"/>
  <c r="D42" i="2"/>
  <c r="C42" i="2"/>
  <c r="I42" i="2" s="1"/>
  <c r="P41" i="2"/>
  <c r="N41" i="2"/>
  <c r="M41" i="2"/>
  <c r="L41" i="2"/>
  <c r="K41" i="2"/>
  <c r="I41" i="2"/>
  <c r="E41" i="2"/>
  <c r="D41" i="2"/>
  <c r="C41" i="2"/>
  <c r="F41" i="2" s="1"/>
  <c r="P40" i="2"/>
  <c r="M40" i="2"/>
  <c r="L40" i="2"/>
  <c r="K40" i="2"/>
  <c r="F40" i="2"/>
  <c r="E40" i="2"/>
  <c r="D40" i="2"/>
  <c r="C40" i="2"/>
  <c r="I40" i="2" s="1"/>
  <c r="P39" i="2"/>
  <c r="N39" i="2"/>
  <c r="M39" i="2"/>
  <c r="L39" i="2"/>
  <c r="K39" i="2"/>
  <c r="E39" i="2"/>
  <c r="D39" i="2"/>
  <c r="C39" i="2"/>
  <c r="F39" i="2" s="1"/>
  <c r="P38" i="2"/>
  <c r="M38" i="2"/>
  <c r="L38" i="2"/>
  <c r="K38" i="2"/>
  <c r="E38" i="2"/>
  <c r="D38" i="2"/>
  <c r="C38" i="2"/>
  <c r="I38" i="2" s="1"/>
  <c r="P37" i="2"/>
  <c r="M37" i="2"/>
  <c r="L37" i="2"/>
  <c r="K37" i="2"/>
  <c r="I37" i="2"/>
  <c r="E37" i="2"/>
  <c r="D37" i="2"/>
  <c r="C37" i="2"/>
  <c r="F37" i="2" s="1"/>
  <c r="P36" i="2"/>
  <c r="M36" i="2"/>
  <c r="L36" i="2"/>
  <c r="K36" i="2"/>
  <c r="F36" i="2"/>
  <c r="E36" i="2"/>
  <c r="D36" i="2"/>
  <c r="C36" i="2"/>
  <c r="I36" i="2" s="1"/>
  <c r="P35" i="2"/>
  <c r="M35" i="2"/>
  <c r="L35" i="2"/>
  <c r="K35" i="2"/>
  <c r="E35" i="2"/>
  <c r="D35" i="2"/>
  <c r="C35" i="2"/>
  <c r="F35" i="2" s="1"/>
  <c r="P34" i="2"/>
  <c r="M34" i="2"/>
  <c r="L34" i="2"/>
  <c r="K34" i="2"/>
  <c r="E34" i="2"/>
  <c r="D34" i="2"/>
  <c r="C34" i="2"/>
  <c r="I34" i="2" s="1"/>
  <c r="P33" i="2"/>
  <c r="N33" i="2"/>
  <c r="M33" i="2"/>
  <c r="L33" i="2"/>
  <c r="K33" i="2"/>
  <c r="I33" i="2"/>
  <c r="E33" i="2"/>
  <c r="D33" i="2"/>
  <c r="C33" i="2"/>
  <c r="F33" i="2" s="1"/>
  <c r="P32" i="2"/>
  <c r="M32" i="2"/>
  <c r="L32" i="2"/>
  <c r="K32" i="2"/>
  <c r="F32" i="2"/>
  <c r="E32" i="2"/>
  <c r="D32" i="2"/>
  <c r="C32" i="2"/>
  <c r="I32" i="2" s="1"/>
  <c r="P31" i="2"/>
  <c r="N31" i="2"/>
  <c r="M31" i="2"/>
  <c r="L31" i="2"/>
  <c r="K31" i="2"/>
  <c r="E31" i="2"/>
  <c r="D31" i="2"/>
  <c r="C31" i="2"/>
  <c r="F31" i="2" s="1"/>
  <c r="P30" i="2"/>
  <c r="M30" i="2"/>
  <c r="L30" i="2"/>
  <c r="K30" i="2"/>
  <c r="E30" i="2"/>
  <c r="D30" i="2"/>
  <c r="C30" i="2"/>
  <c r="I30" i="2" s="1"/>
  <c r="P29" i="2"/>
  <c r="M29" i="2"/>
  <c r="L29" i="2"/>
  <c r="K29" i="2"/>
  <c r="I29" i="2"/>
  <c r="E29" i="2"/>
  <c r="D29" i="2"/>
  <c r="C29" i="2"/>
  <c r="F29" i="2" s="1"/>
  <c r="P28" i="2"/>
  <c r="M28" i="2"/>
  <c r="L28" i="2"/>
  <c r="N28" i="2" s="1"/>
  <c r="K28" i="2"/>
  <c r="F28" i="2"/>
  <c r="E28" i="2"/>
  <c r="D28" i="2"/>
  <c r="C28" i="2"/>
  <c r="I28" i="2" s="1"/>
  <c r="W27" i="2"/>
  <c r="V27" i="2"/>
  <c r="U27" i="2"/>
  <c r="P27" i="2"/>
  <c r="M27" i="2"/>
  <c r="L27" i="2"/>
  <c r="N27" i="2" s="1"/>
  <c r="K27" i="2"/>
  <c r="E27" i="2"/>
  <c r="D27" i="2"/>
  <c r="C27" i="2"/>
  <c r="I27" i="2" s="1"/>
  <c r="W26" i="2"/>
  <c r="V26" i="2"/>
  <c r="U26" i="2"/>
  <c r="P26" i="2"/>
  <c r="M26" i="2"/>
  <c r="L26" i="2"/>
  <c r="K26" i="2"/>
  <c r="I26" i="2"/>
  <c r="E26" i="2"/>
  <c r="D26" i="2"/>
  <c r="C26" i="2"/>
  <c r="F26" i="2" s="1"/>
  <c r="P25" i="2"/>
  <c r="M25" i="2"/>
  <c r="L25" i="2"/>
  <c r="K25" i="2"/>
  <c r="F25" i="2"/>
  <c r="E25" i="2"/>
  <c r="D25" i="2"/>
  <c r="C25" i="2"/>
  <c r="I25" i="2" s="1"/>
  <c r="P24" i="2"/>
  <c r="M24" i="2"/>
  <c r="L24" i="2"/>
  <c r="K24" i="2"/>
  <c r="E24" i="2"/>
  <c r="D24" i="2"/>
  <c r="C24" i="2"/>
  <c r="F24" i="2" s="1"/>
  <c r="P23" i="2"/>
  <c r="M23" i="2"/>
  <c r="L23" i="2"/>
  <c r="K23" i="2"/>
  <c r="E23" i="2"/>
  <c r="D23" i="2"/>
  <c r="C23" i="2"/>
  <c r="I23" i="2" s="1"/>
  <c r="P22" i="2"/>
  <c r="N22" i="2"/>
  <c r="M22" i="2"/>
  <c r="L22" i="2"/>
  <c r="K22" i="2"/>
  <c r="I22" i="2"/>
  <c r="E22" i="2"/>
  <c r="D22" i="2"/>
  <c r="C22" i="2"/>
  <c r="F22" i="2" s="1"/>
  <c r="P21" i="2"/>
  <c r="M21" i="2"/>
  <c r="L21" i="2"/>
  <c r="K21" i="2"/>
  <c r="F21" i="2"/>
  <c r="E21" i="2"/>
  <c r="D21" i="2"/>
  <c r="C21" i="2"/>
  <c r="I21" i="2" s="1"/>
  <c r="P20" i="2"/>
  <c r="M20" i="2"/>
  <c r="L20" i="2"/>
  <c r="N20" i="2" s="1"/>
  <c r="K20" i="2"/>
  <c r="E20" i="2"/>
  <c r="D20" i="2"/>
  <c r="C20" i="2"/>
  <c r="F20" i="2" s="1"/>
  <c r="P19" i="2"/>
  <c r="M19" i="2"/>
  <c r="L19" i="2"/>
  <c r="K19" i="2"/>
  <c r="E19" i="2"/>
  <c r="D19" i="2"/>
  <c r="C19" i="2"/>
  <c r="I19" i="2" s="1"/>
  <c r="P18" i="2"/>
  <c r="M18" i="2"/>
  <c r="L18" i="2"/>
  <c r="K18" i="2"/>
  <c r="I18" i="2"/>
  <c r="E18" i="2"/>
  <c r="D18" i="2"/>
  <c r="C18" i="2"/>
  <c r="F18" i="2" s="1"/>
  <c r="P17" i="2"/>
  <c r="M17" i="2"/>
  <c r="L17" i="2"/>
  <c r="K17" i="2"/>
  <c r="F17" i="2"/>
  <c r="E17" i="2"/>
  <c r="D17" i="2"/>
  <c r="C17" i="2"/>
  <c r="I17" i="2" s="1"/>
  <c r="P16" i="2"/>
  <c r="M16" i="2"/>
  <c r="L16" i="2"/>
  <c r="K16" i="2"/>
  <c r="E16" i="2"/>
  <c r="D16" i="2"/>
  <c r="C16" i="2"/>
  <c r="F16" i="2" s="1"/>
  <c r="P15" i="2"/>
  <c r="M15" i="2"/>
  <c r="L15" i="2"/>
  <c r="K15" i="2"/>
  <c r="E15" i="2"/>
  <c r="D15" i="2"/>
  <c r="C15" i="2"/>
  <c r="I15" i="2" s="1"/>
  <c r="P14" i="2"/>
  <c r="N14" i="2"/>
  <c r="M14" i="2"/>
  <c r="L14" i="2"/>
  <c r="K14" i="2"/>
  <c r="I14" i="2"/>
  <c r="E14" i="2"/>
  <c r="D14" i="2"/>
  <c r="C14" i="2"/>
  <c r="F14" i="2" s="1"/>
  <c r="P13" i="2"/>
  <c r="M13" i="2"/>
  <c r="L13" i="2"/>
  <c r="K13" i="2"/>
  <c r="F13" i="2"/>
  <c r="E13" i="2"/>
  <c r="D13" i="2"/>
  <c r="C13" i="2"/>
  <c r="I13" i="2" s="1"/>
  <c r="P12" i="2"/>
  <c r="M12" i="2"/>
  <c r="L12" i="2"/>
  <c r="N12" i="2" s="1"/>
  <c r="K12" i="2"/>
  <c r="E12" i="2"/>
  <c r="D12" i="2"/>
  <c r="C12" i="2"/>
  <c r="F12" i="2" s="1"/>
  <c r="P11" i="2"/>
  <c r="M11" i="2"/>
  <c r="L11" i="2"/>
  <c r="K11" i="2"/>
  <c r="E11" i="2"/>
  <c r="D11" i="2"/>
  <c r="C11" i="2"/>
  <c r="I11" i="2" s="1"/>
  <c r="P10" i="2"/>
  <c r="M10" i="2"/>
  <c r="L10" i="2"/>
  <c r="K10" i="2"/>
  <c r="E10" i="2"/>
  <c r="D10" i="2"/>
  <c r="C10" i="2"/>
  <c r="F10" i="2" s="1"/>
  <c r="P9" i="2"/>
  <c r="M9" i="2"/>
  <c r="L9" i="2"/>
  <c r="K9" i="2"/>
  <c r="E9" i="2"/>
  <c r="D9" i="2"/>
  <c r="C9" i="2"/>
  <c r="P8" i="2"/>
  <c r="M8" i="2"/>
  <c r="L8" i="2"/>
  <c r="K8" i="2"/>
  <c r="F8" i="2"/>
  <c r="E8" i="2"/>
  <c r="D8" i="2"/>
  <c r="C8" i="2"/>
  <c r="P7" i="2"/>
  <c r="M7" i="2"/>
  <c r="L7" i="2"/>
  <c r="K7" i="2"/>
  <c r="E7" i="2"/>
  <c r="D7" i="2"/>
  <c r="C7" i="2"/>
  <c r="F7" i="2" s="1"/>
  <c r="P6" i="2"/>
  <c r="M6" i="2"/>
  <c r="K6" i="2"/>
  <c r="E6" i="2"/>
  <c r="D6" i="2"/>
  <c r="C6" i="2"/>
  <c r="F6" i="2" s="1"/>
  <c r="P5" i="2"/>
  <c r="M5" i="2"/>
  <c r="K5" i="2"/>
  <c r="E5" i="2"/>
  <c r="D5" i="2"/>
  <c r="C5" i="2"/>
  <c r="P4" i="2"/>
  <c r="M4" i="2"/>
  <c r="K4" i="2"/>
  <c r="F4" i="2"/>
  <c r="E4" i="2"/>
  <c r="D4" i="2"/>
  <c r="C4" i="2"/>
  <c r="P3" i="2"/>
  <c r="M3" i="2"/>
  <c r="K3" i="2"/>
  <c r="E3" i="2"/>
  <c r="D3" i="2"/>
  <c r="C3" i="2"/>
  <c r="F3" i="2" s="1"/>
  <c r="E2" i="2"/>
  <c r="D2" i="2"/>
  <c r="C2" i="2"/>
  <c r="AB402" i="2" l="1"/>
  <c r="N197" i="2"/>
  <c r="N436" i="2"/>
  <c r="X404" i="2"/>
  <c r="F85" i="2"/>
  <c r="F89" i="2"/>
  <c r="F93" i="2"/>
  <c r="F97" i="2"/>
  <c r="F175" i="2"/>
  <c r="F181" i="2"/>
  <c r="N194" i="2"/>
  <c r="N201" i="2"/>
  <c r="I207" i="2"/>
  <c r="N363" i="2"/>
  <c r="W402" i="2"/>
  <c r="X403" i="2"/>
  <c r="F72" i="2"/>
  <c r="F109" i="2"/>
  <c r="AN236" i="2"/>
  <c r="AQ236" i="2" s="1"/>
  <c r="N244" i="2"/>
  <c r="N420" i="2"/>
  <c r="N424" i="2"/>
  <c r="N478" i="2"/>
  <c r="F68" i="2"/>
  <c r="N109" i="2"/>
  <c r="N168" i="2"/>
  <c r="I474" i="2"/>
  <c r="F483" i="2"/>
  <c r="F492" i="2"/>
  <c r="I497" i="2"/>
  <c r="F508" i="2"/>
  <c r="W403" i="2"/>
  <c r="X405" i="2"/>
  <c r="X222" i="2"/>
  <c r="AA222" i="2" s="1"/>
  <c r="F449" i="2"/>
  <c r="W404" i="2"/>
  <c r="X431" i="2"/>
  <c r="F268" i="2"/>
  <c r="N323" i="2"/>
  <c r="N327" i="2"/>
  <c r="N331" i="2"/>
  <c r="F372" i="2"/>
  <c r="W409" i="2"/>
  <c r="X430" i="2"/>
  <c r="N81" i="2"/>
  <c r="N166" i="2"/>
  <c r="BD179" i="2"/>
  <c r="BG179" i="2" s="1"/>
  <c r="X214" i="2"/>
  <c r="AA214" i="2" s="1"/>
  <c r="AN222" i="2"/>
  <c r="AQ222" i="2" s="1"/>
  <c r="F503" i="2"/>
  <c r="W408" i="2"/>
  <c r="X429" i="2"/>
  <c r="BD185" i="2"/>
  <c r="BG185" i="2" s="1"/>
  <c r="I188" i="2"/>
  <c r="N191" i="2"/>
  <c r="X204" i="2"/>
  <c r="AA204" i="2" s="1"/>
  <c r="F245" i="2"/>
  <c r="F360" i="2"/>
  <c r="F364" i="2"/>
  <c r="F425" i="2"/>
  <c r="F429" i="2"/>
  <c r="F433" i="2"/>
  <c r="W407" i="2"/>
  <c r="X428" i="2"/>
  <c r="BD178" i="2"/>
  <c r="BG178" i="2" s="1"/>
  <c r="W406" i="2"/>
  <c r="X427" i="2"/>
  <c r="W405" i="2"/>
  <c r="X426" i="2"/>
  <c r="X201" i="2"/>
  <c r="AA201" i="2" s="1"/>
  <c r="I86" i="2"/>
  <c r="I90" i="2"/>
  <c r="I94" i="2"/>
  <c r="I98" i="2"/>
  <c r="N111" i="2"/>
  <c r="F324" i="2"/>
  <c r="F332" i="2"/>
  <c r="W431" i="2"/>
  <c r="X425" i="2"/>
  <c r="AN237" i="2"/>
  <c r="AQ237" i="2" s="1"/>
  <c r="F261" i="2"/>
  <c r="F320" i="2"/>
  <c r="F328" i="2"/>
  <c r="N107" i="2"/>
  <c r="N172" i="2"/>
  <c r="BD175" i="2"/>
  <c r="BE175" i="2" s="1"/>
  <c r="I208" i="2"/>
  <c r="F217" i="2"/>
  <c r="I227" i="2"/>
  <c r="F265" i="2"/>
  <c r="F284" i="2"/>
  <c r="F304" i="2"/>
  <c r="F308" i="2"/>
  <c r="F312" i="2"/>
  <c r="F316" i="2"/>
  <c r="F458" i="2"/>
  <c r="F462" i="2"/>
  <c r="F475" i="2"/>
  <c r="F484" i="2"/>
  <c r="W430" i="2"/>
  <c r="X424" i="2"/>
  <c r="N32" i="2"/>
  <c r="N36" i="2"/>
  <c r="N40" i="2"/>
  <c r="N44" i="2"/>
  <c r="N48" i="2"/>
  <c r="N52" i="2"/>
  <c r="N56" i="2"/>
  <c r="N60" i="2"/>
  <c r="N13" i="2"/>
  <c r="N17" i="2"/>
  <c r="N21" i="2"/>
  <c r="N25" i="2"/>
  <c r="N77" i="2"/>
  <c r="I114" i="2"/>
  <c r="N126" i="2"/>
  <c r="N69" i="2"/>
  <c r="F185" i="2"/>
  <c r="N261" i="2"/>
  <c r="F288" i="2"/>
  <c r="F292" i="2"/>
  <c r="F296" i="2"/>
  <c r="F300" i="2"/>
  <c r="F454" i="2"/>
  <c r="W429" i="2"/>
  <c r="X423" i="2"/>
  <c r="F269" i="2"/>
  <c r="N284" i="2"/>
  <c r="F446" i="2"/>
  <c r="F450" i="2"/>
  <c r="W428" i="2"/>
  <c r="X422" i="2"/>
  <c r="N182" i="2"/>
  <c r="N185" i="2"/>
  <c r="N193" i="2"/>
  <c r="W427" i="2"/>
  <c r="X421" i="2"/>
  <c r="BD172" i="2"/>
  <c r="BE172" i="2" s="1"/>
  <c r="N227" i="2"/>
  <c r="F438" i="2"/>
  <c r="W426" i="2"/>
  <c r="X420" i="2"/>
  <c r="N90" i="2"/>
  <c r="N135" i="2"/>
  <c r="N143" i="2"/>
  <c r="N151" i="2"/>
  <c r="N159" i="2"/>
  <c r="F74" i="2"/>
  <c r="I111" i="2"/>
  <c r="F115" i="2"/>
  <c r="N131" i="2"/>
  <c r="N139" i="2"/>
  <c r="N147" i="2"/>
  <c r="N155" i="2"/>
  <c r="F189" i="2"/>
  <c r="F246" i="2"/>
  <c r="F250" i="2"/>
  <c r="F254" i="2"/>
  <c r="F277" i="2"/>
  <c r="F398" i="2"/>
  <c r="F402" i="2"/>
  <c r="F410" i="2"/>
  <c r="F434" i="2"/>
  <c r="W425" i="2"/>
  <c r="X419" i="2"/>
  <c r="W424" i="2"/>
  <c r="X418" i="2"/>
  <c r="BD169" i="2"/>
  <c r="BG169" i="2" s="1"/>
  <c r="BH169" i="2" s="1"/>
  <c r="N176" i="2"/>
  <c r="BD209" i="2"/>
  <c r="BG209" i="2" s="1"/>
  <c r="X220" i="2"/>
  <c r="AA220" i="2" s="1"/>
  <c r="N242" i="2"/>
  <c r="F262" i="2"/>
  <c r="N273" i="2"/>
  <c r="F386" i="2"/>
  <c r="N398" i="2"/>
  <c r="N402" i="2"/>
  <c r="N426" i="2"/>
  <c r="I485" i="2"/>
  <c r="W423" i="2"/>
  <c r="X417" i="2"/>
  <c r="X202" i="2"/>
  <c r="Y204" i="2" s="1"/>
  <c r="BB205" i="2"/>
  <c r="BD205" i="2" s="1"/>
  <c r="BG205" i="2" s="1"/>
  <c r="BH205" i="2" s="1"/>
  <c r="BB208" i="2"/>
  <c r="BD208" i="2" s="1"/>
  <c r="BG208" i="2" s="1"/>
  <c r="BH208" i="2" s="1"/>
  <c r="F218" i="2"/>
  <c r="N390" i="2"/>
  <c r="W422" i="2"/>
  <c r="X416" i="2"/>
  <c r="BB166" i="2"/>
  <c r="BD166" i="2" s="1"/>
  <c r="BE167" i="2" s="1"/>
  <c r="F193" i="2"/>
  <c r="I228" i="2"/>
  <c r="F266" i="2"/>
  <c r="F289" i="2"/>
  <c r="F374" i="2"/>
  <c r="N386" i="2"/>
  <c r="W421" i="2"/>
  <c r="X415" i="2"/>
  <c r="F66" i="2"/>
  <c r="N218" i="2"/>
  <c r="X224" i="2"/>
  <c r="AA224" i="2" s="1"/>
  <c r="N258" i="2"/>
  <c r="N281" i="2"/>
  <c r="F370" i="2"/>
  <c r="N378" i="2"/>
  <c r="N382" i="2"/>
  <c r="W420" i="2"/>
  <c r="Y420" i="2" s="1"/>
  <c r="X414" i="2"/>
  <c r="N266" i="2"/>
  <c r="F270" i="2"/>
  <c r="F362" i="2"/>
  <c r="F366" i="2"/>
  <c r="N374" i="2"/>
  <c r="F423" i="2"/>
  <c r="F472" i="2"/>
  <c r="W419" i="2"/>
  <c r="X413" i="2"/>
  <c r="BB199" i="2"/>
  <c r="BD199" i="2" s="1"/>
  <c r="BG199" i="2" s="1"/>
  <c r="BH199" i="2" s="1"/>
  <c r="F11" i="2"/>
  <c r="F19" i="2"/>
  <c r="F34" i="2"/>
  <c r="F42" i="2"/>
  <c r="F50" i="2"/>
  <c r="F58" i="2"/>
  <c r="BB202" i="2"/>
  <c r="BD202" i="2" s="1"/>
  <c r="F15" i="2"/>
  <c r="F23" i="2"/>
  <c r="N30" i="2"/>
  <c r="N38" i="2"/>
  <c r="N46" i="2"/>
  <c r="N54" i="2"/>
  <c r="N79" i="2"/>
  <c r="F170" i="2"/>
  <c r="BB196" i="2"/>
  <c r="BD196" i="2" s="1"/>
  <c r="BG196" i="2" s="1"/>
  <c r="BH196" i="2" s="1"/>
  <c r="F495" i="2"/>
  <c r="W418" i="2"/>
  <c r="X412" i="2"/>
  <c r="F46" i="2"/>
  <c r="F54" i="2"/>
  <c r="F62" i="2"/>
  <c r="N83" i="2"/>
  <c r="N11" i="2"/>
  <c r="N19" i="2"/>
  <c r="N34" i="2"/>
  <c r="N42" i="2"/>
  <c r="N50" i="2"/>
  <c r="N58" i="2"/>
  <c r="I108" i="2"/>
  <c r="F112" i="2"/>
  <c r="F116" i="2"/>
  <c r="N120" i="2"/>
  <c r="F180" i="2"/>
  <c r="BD212" i="2"/>
  <c r="BG212" i="2" s="1"/>
  <c r="W417" i="2"/>
  <c r="Y417" i="2" s="1"/>
  <c r="X411" i="2"/>
  <c r="X229" i="2"/>
  <c r="AA229" i="2" s="1"/>
  <c r="F232" i="2"/>
  <c r="F247" i="2"/>
  <c r="F251" i="2"/>
  <c r="F255" i="2"/>
  <c r="F278" i="2"/>
  <c r="F322" i="2"/>
  <c r="F326" i="2"/>
  <c r="F330" i="2"/>
  <c r="F334" i="2"/>
  <c r="N354" i="2"/>
  <c r="N358" i="2"/>
  <c r="I391" i="2"/>
  <c r="F468" i="2"/>
  <c r="W416" i="2"/>
  <c r="X410" i="2"/>
  <c r="Y410" i="2" s="1"/>
  <c r="N15" i="2"/>
  <c r="N23" i="2"/>
  <c r="F27" i="2"/>
  <c r="N75" i="2"/>
  <c r="F190" i="2"/>
  <c r="F100" i="2"/>
  <c r="N116" i="2"/>
  <c r="N177" i="2"/>
  <c r="F259" i="2"/>
  <c r="F282" i="2"/>
  <c r="F306" i="2"/>
  <c r="F310" i="2"/>
  <c r="F314" i="2"/>
  <c r="F318" i="2"/>
  <c r="N338" i="2"/>
  <c r="N342" i="2"/>
  <c r="N346" i="2"/>
  <c r="N350" i="2"/>
  <c r="N403" i="2"/>
  <c r="N407" i="2"/>
  <c r="N415" i="2"/>
  <c r="W415" i="2"/>
  <c r="X409" i="2"/>
  <c r="F215" i="2"/>
  <c r="X221" i="2"/>
  <c r="AA221" i="2" s="1"/>
  <c r="F263" i="2"/>
  <c r="F286" i="2"/>
  <c r="F294" i="2"/>
  <c r="F298" i="2"/>
  <c r="F302" i="2"/>
  <c r="F379" i="2"/>
  <c r="F456" i="2"/>
  <c r="F464" i="2"/>
  <c r="F482" i="2"/>
  <c r="W414" i="2"/>
  <c r="X408" i="2"/>
  <c r="N259" i="2"/>
  <c r="N282" i="2"/>
  <c r="N306" i="2"/>
  <c r="N310" i="2"/>
  <c r="N314" i="2"/>
  <c r="N318" i="2"/>
  <c r="N460" i="2"/>
  <c r="W413" i="2"/>
  <c r="X407" i="2"/>
  <c r="F186" i="2"/>
  <c r="F30" i="2"/>
  <c r="F38" i="2"/>
  <c r="N71" i="2"/>
  <c r="N174" i="2"/>
  <c r="X218" i="2"/>
  <c r="N67" i="2"/>
  <c r="F80" i="2"/>
  <c r="F129" i="2"/>
  <c r="F133" i="2"/>
  <c r="F137" i="2"/>
  <c r="F141" i="2"/>
  <c r="F145" i="2"/>
  <c r="F149" i="2"/>
  <c r="F153" i="2"/>
  <c r="F157" i="2"/>
  <c r="F161" i="2"/>
  <c r="F212" i="2"/>
  <c r="N215" i="2"/>
  <c r="F236" i="2"/>
  <c r="N286" i="2"/>
  <c r="N294" i="2"/>
  <c r="N298" i="2"/>
  <c r="N302" i="2"/>
  <c r="F444" i="2"/>
  <c r="N456" i="2"/>
  <c r="N464" i="2"/>
  <c r="W412" i="2"/>
  <c r="Y412" i="2" s="1"/>
  <c r="X406" i="2"/>
  <c r="Y406" i="2" s="1"/>
  <c r="I271" i="2"/>
  <c r="N290" i="2"/>
  <c r="F363" i="2"/>
  <c r="I420" i="2"/>
  <c r="I424" i="2"/>
  <c r="F440" i="2"/>
  <c r="N448" i="2"/>
  <c r="N452" i="2"/>
  <c r="N491" i="2"/>
  <c r="W411" i="2"/>
  <c r="F222" i="2"/>
  <c r="W410" i="2"/>
  <c r="F171" i="2"/>
  <c r="I339" i="2"/>
  <c r="F343" i="2"/>
  <c r="F347" i="2"/>
  <c r="F396" i="2"/>
  <c r="F404" i="2"/>
  <c r="F412" i="2"/>
  <c r="N440" i="2"/>
  <c r="I469" i="2"/>
  <c r="F487" i="2"/>
  <c r="F502" i="2"/>
  <c r="Y404" i="2"/>
  <c r="I16" i="2"/>
  <c r="N16" i="2"/>
  <c r="I24" i="2"/>
  <c r="N24" i="2"/>
  <c r="I35" i="2"/>
  <c r="N35" i="2"/>
  <c r="I43" i="2"/>
  <c r="N43" i="2"/>
  <c r="I51" i="2"/>
  <c r="N51" i="2"/>
  <c r="I59" i="2"/>
  <c r="N59" i="2"/>
  <c r="I84" i="2"/>
  <c r="N84" i="2"/>
  <c r="I92" i="2"/>
  <c r="N92" i="2"/>
  <c r="N101" i="2"/>
  <c r="I132" i="2"/>
  <c r="N132" i="2"/>
  <c r="I140" i="2"/>
  <c r="N140" i="2"/>
  <c r="I148" i="2"/>
  <c r="N148" i="2"/>
  <c r="I156" i="2"/>
  <c r="N156" i="2"/>
  <c r="I164" i="2"/>
  <c r="AL175" i="2"/>
  <c r="AM175" i="2"/>
  <c r="AN181" i="2" s="1"/>
  <c r="AQ181" i="2" s="1"/>
  <c r="BE179" i="2"/>
  <c r="BE178" i="2"/>
  <c r="BF178" i="2" s="1"/>
  <c r="AL184" i="2"/>
  <c r="AM184" i="2" s="1"/>
  <c r="AN185" i="2" s="1"/>
  <c r="AQ185" i="2" s="1"/>
  <c r="N204" i="2"/>
  <c r="N205" i="2"/>
  <c r="F213" i="2"/>
  <c r="I213" i="2"/>
  <c r="AM214" i="2"/>
  <c r="AN217" i="2" s="1"/>
  <c r="AQ217" i="2" s="1"/>
  <c r="F225" i="2"/>
  <c r="I225" i="2"/>
  <c r="AN171" i="2"/>
  <c r="AQ171" i="2" s="1"/>
  <c r="AN170" i="2"/>
  <c r="AQ170" i="2" s="1"/>
  <c r="AN173" i="2"/>
  <c r="AQ173" i="2" s="1"/>
  <c r="AN168" i="2"/>
  <c r="AQ168" i="2" s="1"/>
  <c r="AN167" i="2"/>
  <c r="AQ167" i="2" s="1"/>
  <c r="AN166" i="2"/>
  <c r="BG181" i="2"/>
  <c r="F5" i="2"/>
  <c r="N18" i="2"/>
  <c r="N29" i="2"/>
  <c r="N45" i="2"/>
  <c r="N53" i="2"/>
  <c r="N61" i="2"/>
  <c r="N86" i="2"/>
  <c r="N94" i="2"/>
  <c r="N123" i="2"/>
  <c r="N134" i="2"/>
  <c r="N142" i="2"/>
  <c r="N150" i="2"/>
  <c r="N158" i="2"/>
  <c r="AN169" i="2"/>
  <c r="AQ169" i="2" s="1"/>
  <c r="BE170" i="2"/>
  <c r="BE169" i="2"/>
  <c r="AN172" i="2"/>
  <c r="AQ172" i="2" s="1"/>
  <c r="BE181" i="2"/>
  <c r="BD191" i="2"/>
  <c r="BG191" i="2" s="1"/>
  <c r="BB190" i="2"/>
  <c r="BD190" i="2" s="1"/>
  <c r="BD194" i="2"/>
  <c r="BG194" i="2" s="1"/>
  <c r="BB193" i="2"/>
  <c r="BD193" i="2" s="1"/>
  <c r="BG202" i="2"/>
  <c r="BH202" i="2" s="1"/>
  <c r="BE203" i="2"/>
  <c r="BE202" i="2"/>
  <c r="BF202" i="2" s="1"/>
  <c r="BI202" i="2" s="1"/>
  <c r="BJ202" i="2" s="1"/>
  <c r="Y218" i="2"/>
  <c r="AA218" i="2"/>
  <c r="I219" i="2"/>
  <c r="BG172" i="2"/>
  <c r="BH172" i="2" s="1"/>
  <c r="BE173" i="2"/>
  <c r="BF172" i="2" s="1"/>
  <c r="BI172" i="2" s="1"/>
  <c r="BJ172" i="2" s="1"/>
  <c r="N26" i="2"/>
  <c r="N37" i="2"/>
  <c r="F9" i="2"/>
  <c r="I12" i="2"/>
  <c r="I20" i="2"/>
  <c r="I31" i="2"/>
  <c r="I39" i="2"/>
  <c r="I47" i="2"/>
  <c r="I55" i="2"/>
  <c r="I88" i="2"/>
  <c r="I96" i="2"/>
  <c r="I118" i="2"/>
  <c r="F118" i="2"/>
  <c r="I128" i="2"/>
  <c r="I136" i="2"/>
  <c r="I144" i="2"/>
  <c r="I152" i="2"/>
  <c r="I160" i="2"/>
  <c r="N164" i="2"/>
  <c r="N163" i="2"/>
  <c r="BD173" i="2"/>
  <c r="BG173" i="2" s="1"/>
  <c r="I178" i="2"/>
  <c r="BD182" i="2"/>
  <c r="BG182" i="2" s="1"/>
  <c r="I198" i="2"/>
  <c r="I206" i="2"/>
  <c r="N232" i="2"/>
  <c r="N240" i="2"/>
  <c r="N78" i="2"/>
  <c r="N82" i="2"/>
  <c r="N202" i="2"/>
  <c r="AN209" i="2"/>
  <c r="N221" i="2"/>
  <c r="N222" i="2"/>
  <c r="N223" i="2"/>
  <c r="N234" i="2"/>
  <c r="AQ234" i="2"/>
  <c r="AR234" i="2" s="1"/>
  <c r="V113" i="2"/>
  <c r="U113" i="2"/>
  <c r="W113" i="2"/>
  <c r="N409" i="2"/>
  <c r="N410" i="2"/>
  <c r="N411" i="2"/>
  <c r="N412" i="2"/>
  <c r="F414" i="2"/>
  <c r="I414" i="2"/>
  <c r="F441" i="2"/>
  <c r="I441" i="2"/>
  <c r="F486" i="2"/>
  <c r="I486" i="2"/>
  <c r="F509" i="2"/>
  <c r="I509" i="2"/>
  <c r="N233" i="2"/>
  <c r="AO234" i="2"/>
  <c r="I235" i="2"/>
  <c r="AL239" i="2"/>
  <c r="AM239" i="2" s="1"/>
  <c r="I243" i="2"/>
  <c r="N417" i="2"/>
  <c r="N418" i="2"/>
  <c r="N64" i="2"/>
  <c r="N66" i="2"/>
  <c r="N68" i="2"/>
  <c r="N70" i="2"/>
  <c r="N72" i="2"/>
  <c r="N74" i="2"/>
  <c r="N76" i="2"/>
  <c r="N80" i="2"/>
  <c r="N122" i="2"/>
  <c r="N184" i="2"/>
  <c r="N186" i="2"/>
  <c r="N187" i="2"/>
  <c r="AL204" i="2"/>
  <c r="F2" i="2"/>
  <c r="F63" i="2"/>
  <c r="F65" i="2"/>
  <c r="F67" i="2"/>
  <c r="H4" i="2" s="1"/>
  <c r="I4" i="2" s="1"/>
  <c r="F69" i="2"/>
  <c r="F71" i="2"/>
  <c r="F73" i="2"/>
  <c r="F75" i="2"/>
  <c r="F77" i="2"/>
  <c r="F79" i="2"/>
  <c r="F81" i="2"/>
  <c r="F83" i="2"/>
  <c r="N98" i="2"/>
  <c r="F101" i="2"/>
  <c r="F104" i="2"/>
  <c r="F107" i="2"/>
  <c r="F110" i="2"/>
  <c r="F113" i="2"/>
  <c r="N115" i="2"/>
  <c r="N118" i="2"/>
  <c r="F166" i="2"/>
  <c r="W166" i="2"/>
  <c r="X190" i="2" s="1"/>
  <c r="AA190" i="2" s="1"/>
  <c r="F167" i="2"/>
  <c r="F168" i="2"/>
  <c r="F173" i="2"/>
  <c r="F174" i="2"/>
  <c r="F176" i="2"/>
  <c r="F177" i="2"/>
  <c r="F182" i="2"/>
  <c r="F183" i="2"/>
  <c r="BB187" i="2"/>
  <c r="BD187" i="2" s="1"/>
  <c r="BD188" i="2"/>
  <c r="BG188" i="2" s="1"/>
  <c r="AL193" i="2"/>
  <c r="F197" i="2"/>
  <c r="N200" i="2"/>
  <c r="N203" i="2"/>
  <c r="F205" i="2"/>
  <c r="F209" i="2"/>
  <c r="AM209" i="2"/>
  <c r="AN212" i="2" s="1"/>
  <c r="AQ212" i="2" s="1"/>
  <c r="BD211" i="2"/>
  <c r="X215" i="2"/>
  <c r="AA215" i="2" s="1"/>
  <c r="AN219" i="2"/>
  <c r="N224" i="2"/>
  <c r="I226" i="2"/>
  <c r="F229" i="2"/>
  <c r="AM229" i="2"/>
  <c r="AN231" i="2" s="1"/>
  <c r="AQ231" i="2" s="1"/>
  <c r="AO235" i="2"/>
  <c r="N237" i="2"/>
  <c r="F241" i="2"/>
  <c r="F244" i="2"/>
  <c r="F248" i="2"/>
  <c r="F252" i="2"/>
  <c r="N271" i="2"/>
  <c r="N279" i="2"/>
  <c r="N291" i="2"/>
  <c r="N296" i="2"/>
  <c r="N297" i="2"/>
  <c r="N300" i="2"/>
  <c r="N301" i="2"/>
  <c r="N312" i="2"/>
  <c r="N313" i="2"/>
  <c r="N316" i="2"/>
  <c r="N317" i="2"/>
  <c r="N328" i="2"/>
  <c r="N329" i="2"/>
  <c r="N332" i="2"/>
  <c r="N333" i="2"/>
  <c r="N344" i="2"/>
  <c r="N345" i="2"/>
  <c r="N348" i="2"/>
  <c r="N349" i="2"/>
  <c r="F359" i="2"/>
  <c r="N360" i="2"/>
  <c r="N361" i="2"/>
  <c r="N364" i="2"/>
  <c r="N365" i="2"/>
  <c r="I371" i="2"/>
  <c r="F375" i="2"/>
  <c r="N376" i="2"/>
  <c r="N377" i="2"/>
  <c r="N380" i="2"/>
  <c r="N381" i="2"/>
  <c r="I387" i="2"/>
  <c r="N392" i="2"/>
  <c r="N393" i="2"/>
  <c r="I397" i="2"/>
  <c r="N400" i="2"/>
  <c r="N401" i="2"/>
  <c r="N404" i="2"/>
  <c r="F477" i="2"/>
  <c r="I477" i="2"/>
  <c r="N231" i="2"/>
  <c r="F418" i="2"/>
  <c r="I418" i="2"/>
  <c r="N117" i="2"/>
  <c r="N175" i="2"/>
  <c r="N100" i="2"/>
  <c r="N102" i="2"/>
  <c r="V112" i="2"/>
  <c r="N124" i="2"/>
  <c r="BD184" i="2"/>
  <c r="N192" i="2"/>
  <c r="BE197" i="2"/>
  <c r="BE196" i="2"/>
  <c r="BF196" i="2" s="1"/>
  <c r="Y201" i="2"/>
  <c r="N216" i="2"/>
  <c r="N217" i="2"/>
  <c r="AL224" i="2"/>
  <c r="X230" i="2"/>
  <c r="AA230" i="2" s="1"/>
  <c r="X231" i="2"/>
  <c r="AA231" i="2" s="1"/>
  <c r="X232" i="2"/>
  <c r="AA232" i="2" s="1"/>
  <c r="N248" i="2"/>
  <c r="N252" i="2"/>
  <c r="N256" i="2"/>
  <c r="N260" i="2"/>
  <c r="N421" i="2"/>
  <c r="N422" i="2"/>
  <c r="I445" i="2"/>
  <c r="F457" i="2"/>
  <c r="I457" i="2"/>
  <c r="F192" i="2"/>
  <c r="F194" i="2"/>
  <c r="F195" i="2"/>
  <c r="F200" i="2"/>
  <c r="F201" i="2"/>
  <c r="F203" i="2"/>
  <c r="F204" i="2"/>
  <c r="X207" i="2"/>
  <c r="AA207" i="2" s="1"/>
  <c r="X208" i="2"/>
  <c r="AA208" i="2" s="1"/>
  <c r="AN211" i="2"/>
  <c r="AQ211" i="2" s="1"/>
  <c r="X213" i="2"/>
  <c r="AA213" i="2" s="1"/>
  <c r="F224" i="2"/>
  <c r="X225" i="2"/>
  <c r="AA225" i="2" s="1"/>
  <c r="X226" i="2"/>
  <c r="AA226" i="2" s="1"/>
  <c r="X227" i="2"/>
  <c r="AA227" i="2" s="1"/>
  <c r="X228" i="2"/>
  <c r="AA228" i="2" s="1"/>
  <c r="F234" i="2"/>
  <c r="F237" i="2"/>
  <c r="F242" i="2"/>
  <c r="N285" i="2"/>
  <c r="N289" i="2"/>
  <c r="F303" i="2"/>
  <c r="N304" i="2"/>
  <c r="N305" i="2"/>
  <c r="F319" i="2"/>
  <c r="N320" i="2"/>
  <c r="N321" i="2"/>
  <c r="F335" i="2"/>
  <c r="N336" i="2"/>
  <c r="N337" i="2"/>
  <c r="F351" i="2"/>
  <c r="N352" i="2"/>
  <c r="N353" i="2"/>
  <c r="F367" i="2"/>
  <c r="N368" i="2"/>
  <c r="N369" i="2"/>
  <c r="F383" i="2"/>
  <c r="N384" i="2"/>
  <c r="N385" i="2"/>
  <c r="F395" i="2"/>
  <c r="I395" i="2"/>
  <c r="Y427" i="2"/>
  <c r="Y428" i="2"/>
  <c r="I406" i="2"/>
  <c r="N431" i="2"/>
  <c r="N432" i="2"/>
  <c r="F493" i="2"/>
  <c r="I493" i="2"/>
  <c r="X205" i="2"/>
  <c r="X206" i="2"/>
  <c r="AA206" i="2" s="1"/>
  <c r="X209" i="2"/>
  <c r="AA209" i="2" s="1"/>
  <c r="X210" i="2"/>
  <c r="AA210" i="2" s="1"/>
  <c r="X211" i="2"/>
  <c r="AA211" i="2" s="1"/>
  <c r="X212" i="2"/>
  <c r="AA212" i="2" s="1"/>
  <c r="X219" i="2"/>
  <c r="AA219" i="2" s="1"/>
  <c r="AN220" i="2"/>
  <c r="AQ220" i="2" s="1"/>
  <c r="AN221" i="2"/>
  <c r="AQ221" i="2" s="1"/>
  <c r="AN230" i="2"/>
  <c r="AQ230" i="2" s="1"/>
  <c r="N264" i="2"/>
  <c r="N292" i="2"/>
  <c r="N293" i="2"/>
  <c r="N308" i="2"/>
  <c r="N309" i="2"/>
  <c r="N324" i="2"/>
  <c r="N325" i="2"/>
  <c r="N340" i="2"/>
  <c r="N341" i="2"/>
  <c r="N356" i="2"/>
  <c r="N357" i="2"/>
  <c r="N372" i="2"/>
  <c r="N373" i="2"/>
  <c r="N388" i="2"/>
  <c r="N389" i="2"/>
  <c r="N394" i="2"/>
  <c r="N395" i="2"/>
  <c r="Y424" i="2"/>
  <c r="N429" i="2"/>
  <c r="N430" i="2"/>
  <c r="N434" i="2"/>
  <c r="N435" i="2"/>
  <c r="N446" i="2"/>
  <c r="N447" i="2"/>
  <c r="N450" i="2"/>
  <c r="N451" i="2"/>
  <c r="F489" i="2"/>
  <c r="I489" i="2"/>
  <c r="F293" i="2"/>
  <c r="F297" i="2"/>
  <c r="F301" i="2"/>
  <c r="F305" i="2"/>
  <c r="F309" i="2"/>
  <c r="F313" i="2"/>
  <c r="F317" i="2"/>
  <c r="F321" i="2"/>
  <c r="F325" i="2"/>
  <c r="F329" i="2"/>
  <c r="F333" i="2"/>
  <c r="F337" i="2"/>
  <c r="F341" i="2"/>
  <c r="F345" i="2"/>
  <c r="F349" i="2"/>
  <c r="F353" i="2"/>
  <c r="F357" i="2"/>
  <c r="F361" i="2"/>
  <c r="F365" i="2"/>
  <c r="F369" i="2"/>
  <c r="F373" i="2"/>
  <c r="F377" i="2"/>
  <c r="F381" i="2"/>
  <c r="F385" i="2"/>
  <c r="F389" i="2"/>
  <c r="I393" i="2"/>
  <c r="I401" i="2"/>
  <c r="F408" i="2"/>
  <c r="F416" i="2"/>
  <c r="I419" i="2"/>
  <c r="I426" i="2"/>
  <c r="F437" i="2"/>
  <c r="N438" i="2"/>
  <c r="N439" i="2"/>
  <c r="F453" i="2"/>
  <c r="N454" i="2"/>
  <c r="N455" i="2"/>
  <c r="N468" i="2"/>
  <c r="F470" i="2"/>
  <c r="I473" i="2"/>
  <c r="N480" i="2"/>
  <c r="I490" i="2"/>
  <c r="N442" i="2"/>
  <c r="N443" i="2"/>
  <c r="N458" i="2"/>
  <c r="N459" i="2"/>
  <c r="N465" i="2"/>
  <c r="N484" i="2"/>
  <c r="F417" i="2"/>
  <c r="F428" i="2"/>
  <c r="F435" i="2"/>
  <c r="F439" i="2"/>
  <c r="F443" i="2"/>
  <c r="F447" i="2"/>
  <c r="F451" i="2"/>
  <c r="F455" i="2"/>
  <c r="F459" i="2"/>
  <c r="I465" i="2"/>
  <c r="N473" i="2"/>
  <c r="N476" i="2"/>
  <c r="F478" i="2"/>
  <c r="I481" i="2"/>
  <c r="N489" i="2"/>
  <c r="N492" i="2"/>
  <c r="F494" i="2"/>
  <c r="F500" i="2"/>
  <c r="I505" i="2"/>
  <c r="N469" i="2"/>
  <c r="N472" i="2"/>
  <c r="N485" i="2"/>
  <c r="N488" i="2"/>
  <c r="F512" i="2"/>
  <c r="I513" i="2"/>
  <c r="U142" i="2"/>
  <c r="F511" i="2"/>
  <c r="F421" i="2"/>
  <c r="X182" i="2"/>
  <c r="AA182" i="2" s="1"/>
  <c r="X171" i="2"/>
  <c r="AA171" i="2" s="1"/>
  <c r="X180" i="2"/>
  <c r="AA180" i="2" s="1"/>
  <c r="X189" i="2"/>
  <c r="AA189" i="2" s="1"/>
  <c r="X193" i="2"/>
  <c r="AA193" i="2" s="1"/>
  <c r="X197" i="2"/>
  <c r="AA197" i="2" s="1"/>
  <c r="X174" i="2"/>
  <c r="AA174" i="2" s="1"/>
  <c r="X176" i="2"/>
  <c r="AA176" i="2" s="1"/>
  <c r="X183" i="2"/>
  <c r="AA183" i="2" s="1"/>
  <c r="X185" i="2"/>
  <c r="AA185" i="2" s="1"/>
  <c r="X166" i="2"/>
  <c r="N99" i="2"/>
  <c r="N103" i="2"/>
  <c r="N110" i="2"/>
  <c r="N114" i="2"/>
  <c r="I117" i="2"/>
  <c r="I119" i="2"/>
  <c r="I120" i="2"/>
  <c r="N121" i="2"/>
  <c r="N106" i="2"/>
  <c r="P118" i="2"/>
  <c r="F122" i="2"/>
  <c r="U143" i="2"/>
  <c r="W112" i="2"/>
  <c r="X119" i="2"/>
  <c r="X120" i="2"/>
  <c r="F124" i="2"/>
  <c r="U112" i="2"/>
  <c r="X121" i="2"/>
  <c r="AC402" i="2" l="1"/>
  <c r="Y210" i="2"/>
  <c r="BE200" i="2"/>
  <c r="BG166" i="2"/>
  <c r="BH166" i="2" s="1"/>
  <c r="BE199" i="2"/>
  <c r="X168" i="2"/>
  <c r="AA168" i="2" s="1"/>
  <c r="X196" i="2"/>
  <c r="AA196" i="2" s="1"/>
  <c r="AO237" i="2"/>
  <c r="BE206" i="2"/>
  <c r="BE176" i="2"/>
  <c r="BF175" i="2" s="1"/>
  <c r="BI175" i="2" s="1"/>
  <c r="BJ175" i="2" s="1"/>
  <c r="Y202" i="2"/>
  <c r="H5" i="2"/>
  <c r="I5" i="2" s="1"/>
  <c r="X191" i="2"/>
  <c r="AA191" i="2" s="1"/>
  <c r="AA202" i="2"/>
  <c r="X177" i="2"/>
  <c r="AA177" i="2" s="1"/>
  <c r="Y203" i="2"/>
  <c r="H7" i="2"/>
  <c r="I7" i="2" s="1"/>
  <c r="BI178" i="2"/>
  <c r="BJ178" i="2" s="1"/>
  <c r="X195" i="2"/>
  <c r="AA195" i="2" s="1"/>
  <c r="X186" i="2"/>
  <c r="AA186" i="2" s="1"/>
  <c r="X167" i="2"/>
  <c r="AA167" i="2" s="1"/>
  <c r="X169" i="2"/>
  <c r="AA169" i="2" s="1"/>
  <c r="H3" i="2"/>
  <c r="I3" i="2" s="1"/>
  <c r="Y222" i="2"/>
  <c r="AN216" i="2"/>
  <c r="AQ216" i="2" s="1"/>
  <c r="Y219" i="2"/>
  <c r="V390" i="2"/>
  <c r="BE208" i="2"/>
  <c r="BF208" i="2" s="1"/>
  <c r="BI208" i="2" s="1"/>
  <c r="BJ208" i="2" s="1"/>
  <c r="BI196" i="2"/>
  <c r="BJ196" i="2" s="1"/>
  <c r="AN215" i="2"/>
  <c r="AQ215" i="2" s="1"/>
  <c r="X173" i="2"/>
  <c r="AA173" i="2" s="1"/>
  <c r="X187" i="2"/>
  <c r="AA187" i="2" s="1"/>
  <c r="BE166" i="2"/>
  <c r="BF166" i="2" s="1"/>
  <c r="X192" i="2"/>
  <c r="AA192" i="2" s="1"/>
  <c r="BE209" i="2"/>
  <c r="H10" i="2"/>
  <c r="I10" i="2" s="1"/>
  <c r="H6" i="2"/>
  <c r="I6" i="2" s="1"/>
  <c r="Y224" i="2"/>
  <c r="H8" i="2"/>
  <c r="I8" i="2" s="1"/>
  <c r="BG175" i="2"/>
  <c r="BH175" i="2" s="1"/>
  <c r="X194" i="2"/>
  <c r="AA194" i="2" s="1"/>
  <c r="X172" i="2"/>
  <c r="AA172" i="2" s="1"/>
  <c r="BH178" i="2"/>
  <c r="W390" i="2"/>
  <c r="BE205" i="2"/>
  <c r="X181" i="2"/>
  <c r="AA181" i="2" s="1"/>
  <c r="X184" i="2"/>
  <c r="AA184" i="2" s="1"/>
  <c r="X179" i="2"/>
  <c r="AA179" i="2" s="1"/>
  <c r="X175" i="2"/>
  <c r="AA175" i="2" s="1"/>
  <c r="AO236" i="2"/>
  <c r="AP234" i="2" s="1"/>
  <c r="AS234" i="2" s="1"/>
  <c r="AT234" i="2" s="1"/>
  <c r="X178" i="2"/>
  <c r="AA178" i="2" s="1"/>
  <c r="AN210" i="2"/>
  <c r="AQ210" i="2" s="1"/>
  <c r="X188" i="2"/>
  <c r="AA188" i="2" s="1"/>
  <c r="X170" i="2"/>
  <c r="AA170" i="2" s="1"/>
  <c r="U390" i="2"/>
  <c r="Y422" i="2"/>
  <c r="Y413" i="2"/>
  <c r="Y423" i="2"/>
  <c r="Y407" i="2"/>
  <c r="Y415" i="2"/>
  <c r="Y418" i="2"/>
  <c r="Y425" i="2"/>
  <c r="Y405" i="2"/>
  <c r="Y431" i="2"/>
  <c r="Y416" i="2"/>
  <c r="Y409" i="2"/>
  <c r="AN241" i="2"/>
  <c r="AQ241" i="2" s="1"/>
  <c r="AN240" i="2"/>
  <c r="AQ240" i="2" s="1"/>
  <c r="AN242" i="2"/>
  <c r="AQ242" i="2" s="1"/>
  <c r="AO209" i="2"/>
  <c r="AQ209" i="2"/>
  <c r="Y228" i="2"/>
  <c r="AN180" i="2"/>
  <c r="AQ180" i="2" s="1"/>
  <c r="W389" i="2"/>
  <c r="Y430" i="2"/>
  <c r="Y419" i="2"/>
  <c r="AM224" i="2"/>
  <c r="Y215" i="2"/>
  <c r="Y207" i="2"/>
  <c r="Y206" i="2"/>
  <c r="BE188" i="2"/>
  <c r="BE187" i="2"/>
  <c r="BG187" i="2"/>
  <c r="BH187" i="2" s="1"/>
  <c r="AB218" i="2"/>
  <c r="Y223" i="2"/>
  <c r="Y231" i="2"/>
  <c r="Y225" i="2"/>
  <c r="BG193" i="2"/>
  <c r="BH193" i="2" s="1"/>
  <c r="BE193" i="2"/>
  <c r="BE194" i="2"/>
  <c r="AN176" i="2"/>
  <c r="AQ176" i="2" s="1"/>
  <c r="AN178" i="2"/>
  <c r="AQ178" i="2" s="1"/>
  <c r="AO219" i="2"/>
  <c r="AO222" i="2"/>
  <c r="AO221" i="2"/>
  <c r="AO220" i="2"/>
  <c r="AQ219" i="2"/>
  <c r="AR219" i="2" s="1"/>
  <c r="AN229" i="2"/>
  <c r="Y233" i="2"/>
  <c r="AO169" i="2"/>
  <c r="AO173" i="2"/>
  <c r="AO168" i="2"/>
  <c r="AO167" i="2"/>
  <c r="AO166" i="2"/>
  <c r="AO172" i="2"/>
  <c r="AO170" i="2"/>
  <c r="AO171" i="2"/>
  <c r="AQ166" i="2"/>
  <c r="AR166" i="2" s="1"/>
  <c r="AN186" i="2"/>
  <c r="AQ186" i="2" s="1"/>
  <c r="AN191" i="2"/>
  <c r="AQ191" i="2" s="1"/>
  <c r="AN189" i="2"/>
  <c r="AQ189" i="2" s="1"/>
  <c r="Y144" i="2"/>
  <c r="AA205" i="2"/>
  <c r="AB201" i="2" s="1"/>
  <c r="Y212" i="2"/>
  <c r="Y414" i="2"/>
  <c r="Y403" i="2"/>
  <c r="Y411" i="2"/>
  <c r="Y426" i="2"/>
  <c r="Y421" i="2"/>
  <c r="Y429" i="2"/>
  <c r="Y208" i="2"/>
  <c r="BE212" i="2"/>
  <c r="BE211" i="2"/>
  <c r="BG211" i="2"/>
  <c r="BH211" i="2" s="1"/>
  <c r="Y205" i="2"/>
  <c r="AN232" i="2"/>
  <c r="AQ232" i="2" s="1"/>
  <c r="Y220" i="2"/>
  <c r="Y229" i="2"/>
  <c r="Y232" i="2"/>
  <c r="Y226" i="2"/>
  <c r="BE182" i="2"/>
  <c r="BF181" i="2" s="1"/>
  <c r="BI181" i="2" s="1"/>
  <c r="BJ181" i="2" s="1"/>
  <c r="AN190" i="2"/>
  <c r="AQ190" i="2" s="1"/>
  <c r="AN187" i="2"/>
  <c r="AQ187" i="2" s="1"/>
  <c r="AN182" i="2"/>
  <c r="AQ182" i="2" s="1"/>
  <c r="AN175" i="2"/>
  <c r="Y214" i="2"/>
  <c r="Y408" i="2"/>
  <c r="Y216" i="2"/>
  <c r="Y211" i="2"/>
  <c r="Y213" i="2"/>
  <c r="BG184" i="2"/>
  <c r="BH184" i="2" s="1"/>
  <c r="BE185" i="2"/>
  <c r="BE184" i="2"/>
  <c r="BF184" i="2" s="1"/>
  <c r="H2" i="2"/>
  <c r="I2" i="2" s="1"/>
  <c r="AM204" i="2"/>
  <c r="AN204" i="2" s="1"/>
  <c r="AN239" i="2"/>
  <c r="AM193" i="2"/>
  <c r="BF205" i="2"/>
  <c r="BI205" i="2" s="1"/>
  <c r="BJ205" i="2" s="1"/>
  <c r="Y209" i="2"/>
  <c r="H9" i="2"/>
  <c r="I9" i="2" s="1"/>
  <c r="Y221" i="2"/>
  <c r="Y230" i="2"/>
  <c r="Y227" i="2"/>
  <c r="BG190" i="2"/>
  <c r="BH190" i="2" s="1"/>
  <c r="BE190" i="2"/>
  <c r="BE191" i="2"/>
  <c r="BF169" i="2"/>
  <c r="BI169" i="2" s="1"/>
  <c r="BJ169" i="2" s="1"/>
  <c r="BH181" i="2"/>
  <c r="AN214" i="2"/>
  <c r="AN184" i="2"/>
  <c r="AN188" i="2"/>
  <c r="AQ188" i="2" s="1"/>
  <c r="AN177" i="2"/>
  <c r="AQ177" i="2" s="1"/>
  <c r="AN179" i="2"/>
  <c r="AQ179" i="2" s="1"/>
  <c r="BI166" i="2"/>
  <c r="BJ166" i="2" s="1"/>
  <c r="BF199" i="2"/>
  <c r="BI199" i="2" s="1"/>
  <c r="BJ199" i="2" s="1"/>
  <c r="X124" i="2"/>
  <c r="Y166" i="2"/>
  <c r="Y169" i="2"/>
  <c r="Y172" i="2"/>
  <c r="AA166" i="2"/>
  <c r="W144" i="2"/>
  <c r="U389" i="2"/>
  <c r="V389" i="2"/>
  <c r="Y194" i="2" l="1"/>
  <c r="O3" i="2" a="1"/>
  <c r="O3" i="2" s="1"/>
  <c r="Z201" i="2"/>
  <c r="Y184" i="2"/>
  <c r="Y195" i="2"/>
  <c r="BF193" i="2"/>
  <c r="BI193" i="2" s="1"/>
  <c r="BJ193" i="2" s="1"/>
  <c r="Y190" i="2"/>
  <c r="Y196" i="2"/>
  <c r="Y181" i="2"/>
  <c r="Y178" i="2"/>
  <c r="Y175" i="2"/>
  <c r="Y179" i="2"/>
  <c r="Y188" i="2"/>
  <c r="Y193" i="2"/>
  <c r="AB166" i="2"/>
  <c r="Z218" i="2"/>
  <c r="AC218" i="2" s="1"/>
  <c r="AD218" i="2" s="1"/>
  <c r="Y170" i="2"/>
  <c r="Y168" i="2"/>
  <c r="Y174" i="2"/>
  <c r="Y187" i="2"/>
  <c r="Y180" i="2"/>
  <c r="AR209" i="2"/>
  <c r="Y173" i="2"/>
  <c r="Y183" i="2"/>
  <c r="Y167" i="2"/>
  <c r="Z166" i="2" s="1"/>
  <c r="AC166" i="2" s="1"/>
  <c r="AD166" i="2" s="1"/>
  <c r="AO210" i="2"/>
  <c r="AP209" i="2" s="1"/>
  <c r="AS209" i="2" s="1"/>
  <c r="AT209" i="2" s="1"/>
  <c r="AO211" i="2"/>
  <c r="Y177" i="2"/>
  <c r="Y182" i="2"/>
  <c r="Y186" i="2"/>
  <c r="Y171" i="2"/>
  <c r="Y189" i="2"/>
  <c r="Y185" i="2"/>
  <c r="Y191" i="2"/>
  <c r="BF190" i="2"/>
  <c r="BI190" i="2" s="1"/>
  <c r="BJ190" i="2" s="1"/>
  <c r="BF211" i="2"/>
  <c r="BI211" i="2" s="1"/>
  <c r="BJ211" i="2" s="1"/>
  <c r="Y197" i="2"/>
  <c r="Y176" i="2"/>
  <c r="AO212" i="2"/>
  <c r="Y192" i="2"/>
  <c r="AD402" i="2"/>
  <c r="AC201" i="2"/>
  <c r="AD201" i="2" s="1"/>
  <c r="AN195" i="2"/>
  <c r="AQ195" i="2" s="1"/>
  <c r="AN199" i="2"/>
  <c r="AQ199" i="2" s="1"/>
  <c r="AN198" i="2"/>
  <c r="AQ198" i="2" s="1"/>
  <c r="AN200" i="2"/>
  <c r="AQ200" i="2" s="1"/>
  <c r="AN194" i="2"/>
  <c r="AQ194" i="2" s="1"/>
  <c r="AN197" i="2"/>
  <c r="AQ197" i="2" s="1"/>
  <c r="AN196" i="2"/>
  <c r="AQ196" i="2" s="1"/>
  <c r="AN193" i="2"/>
  <c r="AO242" i="2"/>
  <c r="AO240" i="2"/>
  <c r="AQ239" i="2"/>
  <c r="AR239" i="2" s="1"/>
  <c r="AO241" i="2"/>
  <c r="AO239" i="2"/>
  <c r="BI184" i="2"/>
  <c r="BJ184" i="2" s="1"/>
  <c r="BL166" i="2" s="1"/>
  <c r="AC245" i="2" s="1"/>
  <c r="AO178" i="2"/>
  <c r="AO182" i="2"/>
  <c r="AO177" i="2"/>
  <c r="AO176" i="2"/>
  <c r="AQ175" i="2"/>
  <c r="AR175" i="2" s="1"/>
  <c r="AO181" i="2"/>
  <c r="AO175" i="2"/>
  <c r="AO180" i="2"/>
  <c r="AO179" i="2"/>
  <c r="AP166" i="2"/>
  <c r="AS166" i="2" s="1"/>
  <c r="AT166" i="2" s="1"/>
  <c r="AP219" i="2"/>
  <c r="AS219" i="2" s="1"/>
  <c r="AT219" i="2" s="1"/>
  <c r="AO214" i="2"/>
  <c r="AO217" i="2"/>
  <c r="AQ214" i="2"/>
  <c r="AR214" i="2" s="1"/>
  <c r="AO215" i="2"/>
  <c r="AO216" i="2"/>
  <c r="AQ204" i="2"/>
  <c r="AO204" i="2"/>
  <c r="AN226" i="2"/>
  <c r="AQ226" i="2" s="1"/>
  <c r="AN227" i="2"/>
  <c r="AQ227" i="2" s="1"/>
  <c r="AN225" i="2"/>
  <c r="AQ225" i="2" s="1"/>
  <c r="AO187" i="2"/>
  <c r="AO191" i="2"/>
  <c r="AO189" i="2"/>
  <c r="AO184" i="2"/>
  <c r="AO190" i="2"/>
  <c r="AO188" i="2"/>
  <c r="AQ184" i="2"/>
  <c r="AR184" i="2" s="1"/>
  <c r="AO186" i="2"/>
  <c r="AO185" i="2"/>
  <c r="AN207" i="2"/>
  <c r="AQ207" i="2" s="1"/>
  <c r="AN206" i="2"/>
  <c r="AQ206" i="2" s="1"/>
  <c r="AN205" i="2"/>
  <c r="AQ205" i="2" s="1"/>
  <c r="AO229" i="2"/>
  <c r="AQ229" i="2"/>
  <c r="AR229" i="2" s="1"/>
  <c r="AO232" i="2"/>
  <c r="AO231" i="2"/>
  <c r="AO230" i="2"/>
  <c r="BF187" i="2"/>
  <c r="BI187" i="2" s="1"/>
  <c r="BJ187" i="2" s="1"/>
  <c r="AN224" i="2"/>
  <c r="AO205" i="2" l="1"/>
  <c r="AF201" i="2"/>
  <c r="AC242" i="2" s="1"/>
  <c r="AP175" i="2"/>
  <c r="AS175" i="2" s="1"/>
  <c r="AT175" i="2" s="1"/>
  <c r="AO207" i="2"/>
  <c r="AP214" i="2"/>
  <c r="AS214" i="2" s="1"/>
  <c r="AT214" i="2" s="1"/>
  <c r="AF166" i="2"/>
  <c r="AC241" i="2" s="1"/>
  <c r="AR204" i="2"/>
  <c r="AQ224" i="2"/>
  <c r="AR224" i="2" s="1"/>
  <c r="AO227" i="2"/>
  <c r="AO226" i="2"/>
  <c r="AO225" i="2"/>
  <c r="AO224" i="2"/>
  <c r="AP229" i="2"/>
  <c r="AS229" i="2" s="1"/>
  <c r="AT229" i="2" s="1"/>
  <c r="AP239" i="2"/>
  <c r="AS239" i="2" s="1"/>
  <c r="AT239" i="2" s="1"/>
  <c r="AP184" i="2"/>
  <c r="AS184" i="2" s="1"/>
  <c r="AT184" i="2" s="1"/>
  <c r="AO206" i="2"/>
  <c r="AP204" i="2" s="1"/>
  <c r="AS204" i="2" s="1"/>
  <c r="AT204" i="2" s="1"/>
  <c r="AO196" i="2"/>
  <c r="AO200" i="2"/>
  <c r="AO195" i="2"/>
  <c r="AO194" i="2"/>
  <c r="AQ193" i="2"/>
  <c r="AR193" i="2" s="1"/>
  <c r="AO193" i="2"/>
  <c r="AO198" i="2"/>
  <c r="AO199" i="2"/>
  <c r="AO197" i="2"/>
  <c r="AP193" i="2" l="1"/>
  <c r="AS193" i="2" s="1"/>
  <c r="AT193" i="2" s="1"/>
  <c r="AV166" i="2" s="1"/>
  <c r="AC243" i="2" s="1"/>
  <c r="AP224" i="2"/>
  <c r="AS224" i="2" s="1"/>
  <c r="AT224" i="2" s="1"/>
  <c r="AV204" i="2" s="1"/>
  <c r="AC24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1A6D63-8E91-4C52-9D6B-A5EF4A09D30E}" keepAlive="1" name="Query - Gold Futures Historical Data" description="Connection to the 'Gold Futures Historical Data' query in the workbook." type="5" refreshedVersion="0" background="1">
    <dbPr connection="Provider=Microsoft.Mashup.OleDb.1;Data Source=$Workbook$;Location=&quot;Gold Futures Historical Data&quot;;Extended Properties=&quot;&quot;" command="SELECT * FROM [Gold Futures Historical Data]"/>
  </connection>
  <connection id="2" xr16:uid="{B284E922-1649-4790-9D0F-EC666B30D313}" keepAlive="1" name="Query - Gold Futures Historical Data (2)" description="Connection to the 'Gold Futures Historical Data (2)' query in the workbook." type="5" refreshedVersion="0" background="1">
    <dbPr connection="Provider=Microsoft.Mashup.OleDb.1;Data Source=$Workbook$;Location=&quot;Gold Futures Historical Data (2)&quot;;Extended Properties=&quot;&quot;" command="SELECT * FROM [Gold Futures Historical 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<sst xmlns="http://schemas.openxmlformats.org/spreadsheetml/2006/main" count="772" uniqueCount="701">
  <si>
    <t>Time (weeks)</t>
  </si>
  <si>
    <t>ΕΡΩΤΗΜΑ 1</t>
  </si>
  <si>
    <t>ΒΗΜΑ 2: Υπολογίζω για το κάθε μέρος, τον μέσο όρο και τη τυπική απόκλιση.</t>
  </si>
  <si>
    <t>Μέρος 1:</t>
  </si>
  <si>
    <t>Μ.Ο</t>
  </si>
  <si>
    <t>ΤΥΠΙΚΉ ΑΠΌΚΛΙΣΗ</t>
  </si>
  <si>
    <t>Μέρος 2:</t>
  </si>
  <si>
    <t>904400,1</t>
  </si>
  <si>
    <t>43198,7800002357+116272,456455665i</t>
  </si>
  <si>
    <t>59069,8487336346+66520,2560273034i</t>
  </si>
  <si>
    <t>5356,59490001603+56844,0151301822i</t>
  </si>
  <si>
    <t>15003,7314259868+52156,4313330472i</t>
  </si>
  <si>
    <t>5176,52986470918+33215,9793169514i</t>
  </si>
  <si>
    <t>2377,3434399499+31881,8576070548i</t>
  </si>
  <si>
    <t>-6899,57402182426+20128,5584613439i</t>
  </si>
  <si>
    <t>7943,15771914205+26164,6209437687i</t>
  </si>
  <si>
    <t>-827,814341125868+25726,4398529231i</t>
  </si>
  <si>
    <t>-5967,47415347746+24368,3022391698i</t>
  </si>
  <si>
    <t>-2102,57238982919+16124,0343458958i</t>
  </si>
  <si>
    <t>-1248,40050389657+24989,4597567012i</t>
  </si>
  <si>
    <t>-2363,31263542506+15637,5180879052i</t>
  </si>
  <si>
    <t>-1345,19983704437+13605,3604612024i</t>
  </si>
  <si>
    <t>-4095,48184601916+14648,6171901078i</t>
  </si>
  <si>
    <t>-551,2634331606+11619,697539379i</t>
  </si>
  <si>
    <t>-3364,31097100462+8797,07174550434i</t>
  </si>
  <si>
    <t>-4179,36704224126+10126,6701104466i</t>
  </si>
  <si>
    <t>-3831,64520646756+6157,91095610625i</t>
  </si>
  <si>
    <t>-3809,49036439509+5697,22922404906i</t>
  </si>
  <si>
    <t>759,698732027177+9002,46416156415i</t>
  </si>
  <si>
    <t>906,376843985399+8206,66970813257i</t>
  </si>
  <si>
    <t>133,579575266496+11672,9499005581i</t>
  </si>
  <si>
    <t>-2655,31290720549+8144,48778467543i</t>
  </si>
  <si>
    <t>-399,935549980683+8066,11696557388i</t>
  </si>
  <si>
    <t>-5097,88547265457+8347,18122456382i</t>
  </si>
  <si>
    <t>-785,864882350269+5504,15297816229i</t>
  </si>
  <si>
    <t>-337,391428222367+6510,03113004461i</t>
  </si>
  <si>
    <t>326,988690229998+7684,276533765i</t>
  </si>
  <si>
    <t>-3588,36555341695+6778,64513620664i</t>
  </si>
  <si>
    <t>-1029,26380996697+6720,42690199829i</t>
  </si>
  <si>
    <t>-1598,49563428875+5788,30001186533i</t>
  </si>
  <si>
    <t>94,1563622171785+6635,70823612287i</t>
  </si>
  <si>
    <t>321,759785006114+6251,3605627836i</t>
  </si>
  <si>
    <t>-1223,66268900945+5251,25347430817i</t>
  </si>
  <si>
    <t>1167,09260567178+6010,96395699197i</t>
  </si>
  <si>
    <t>-2639,41127180969+6263,13575422822i</t>
  </si>
  <si>
    <t>-732,929993460193+6405,454465981i</t>
  </si>
  <si>
    <t>-3884,58348102889+5235,26583279971i</t>
  </si>
  <si>
    <t>-1707,41676833619+4599,56314400025i</t>
  </si>
  <si>
    <t>-1284,62661644352+4636,60690749349i</t>
  </si>
  <si>
    <t>-1432,85227879776+5363,99927540155i</t>
  </si>
  <si>
    <t>-1793,30082579127+3422,61454332559i</t>
  </si>
  <si>
    <t>-927,606798085239+4289,58305432832i</t>
  </si>
  <si>
    <t>-389,082518616068+4831,10105593013i</t>
  </si>
  <si>
    <t>-1723,77108987478+4071,90685160807i</t>
  </si>
  <si>
    <t>-477,642870628276+2615,97396039019i</t>
  </si>
  <si>
    <t>68,2969367154776+4237,36851736004i</t>
  </si>
  <si>
    <t>-2299,75400260102+3801,37095889121i</t>
  </si>
  <si>
    <t>-378,656972317369+4478,15812746175i</t>
  </si>
  <si>
    <t>-279,757137182393+4023,24006376935i</t>
  </si>
  <si>
    <t>322,616035910424+4302,69363982071i</t>
  </si>
  <si>
    <t>-544,667900740849+3795,3006441465i</t>
  </si>
  <si>
    <t>-837,357776957224+3419,13254832689i</t>
  </si>
  <si>
    <t>-799,349843456126+2948,48120510558i</t>
  </si>
  <si>
    <t>0,972865792843777+3957,98478686643i</t>
  </si>
  <si>
    <t>-1513,06459082811+3115,35007581029i</t>
  </si>
  <si>
    <t>-1705,44296200636+3636,85975965144i</t>
  </si>
  <si>
    <t>-475,247377154179+2599,40573092303i</t>
  </si>
  <si>
    <t>-2048,92272187226+3270,76876223295i</t>
  </si>
  <si>
    <t>-1838,93298618551+2956,99828787664i</t>
  </si>
  <si>
    <t>-1627,84859230564+1048,81536988561i</t>
  </si>
  <si>
    <t>-468,186153600683+3352,88417292132i</t>
  </si>
  <si>
    <t>-2659,30317395532+3290,73263839129i</t>
  </si>
  <si>
    <t>-1206,2410246238+2064,57228583231i</t>
  </si>
  <si>
    <t>-582,15906285481+3457,38253707474i</t>
  </si>
  <si>
    <t>-1572,8182330021+2071,44495376055i</t>
  </si>
  <si>
    <t>81,8385847981467+2582,63640825082i</t>
  </si>
  <si>
    <t>-2243,61032880441+2743,52018613187i</t>
  </si>
  <si>
    <t>-1577,60786330993+2522,17162518419i</t>
  </si>
  <si>
    <t>-2010,66368596316+2342,0208882564i</t>
  </si>
  <si>
    <t>-533,313771698603+3231,25969195474i</t>
  </si>
  <si>
    <t>-1733,53087645954+2352,76124933668i</t>
  </si>
  <si>
    <t>-876,182697508717+2259,69083682927i</t>
  </si>
  <si>
    <t>-980,059083140647+2628,23362292381i</t>
  </si>
  <si>
    <t>-770,646708603904+876,659409236293i</t>
  </si>
  <si>
    <t>-431,457458120482+2152,91729120045i</t>
  </si>
  <si>
    <t>-31,3152886210705+2051,56499763045i</t>
  </si>
  <si>
    <t>-1247,01570922444+3020,86406423914i</t>
  </si>
  <si>
    <t>-765,916930205178+2293,27954820869i</t>
  </si>
  <si>
    <t>-1489,77107014647+980,830734422228i</t>
  </si>
  <si>
    <t>143,691168113138+1792,87062639165i</t>
  </si>
  <si>
    <t>-1471,04451319821+1877,68513111857i</t>
  </si>
  <si>
    <t>-672,95129205932+2962,98657628136i</t>
  </si>
  <si>
    <t>-1969,8442051915+1899,82164968641i</t>
  </si>
  <si>
    <t>-687,227146241058+2855,24756483845i</t>
  </si>
  <si>
    <t>-1334,01913301685+2160,93974072275i</t>
  </si>
  <si>
    <t>-1906,61655416479+2498,34413908601i</t>
  </si>
  <si>
    <t>-1560,88858104982+2514,35219576613i</t>
  </si>
  <si>
    <t>-1838,38698499849+1265,82543708191i</t>
  </si>
  <si>
    <t>500,30648991264+1851,38679846802i</t>
  </si>
  <si>
    <t>-1105,36196991139+1668,74685389646i</t>
  </si>
  <si>
    <t>-499,959866315867+2813,41938607359i</t>
  </si>
  <si>
    <t>-2117,12973422894+2104,89154324123i</t>
  </si>
  <si>
    <t>-2230,8457482412+2397,60972124362i</t>
  </si>
  <si>
    <t>-1514,00213609649+1581,06441382938i</t>
  </si>
  <si>
    <t>-1882,68096153162+1884,1777537348i</t>
  </si>
  <si>
    <t>-1502,02340656174+969,959755710682i</t>
  </si>
  <si>
    <t>-1145,4555951899+2267,25464906037i</t>
  </si>
  <si>
    <t>-1571,07264852745+1774,80244347872i</t>
  </si>
  <si>
    <t>-1358,83998874583+1351,25184592464i</t>
  </si>
  <si>
    <t>-412,952463362593+817,47455215997i</t>
  </si>
  <si>
    <t>-397,743036836291+1068,97309793592i</t>
  </si>
  <si>
    <t>-549,547479111862+1223,27231040751i</t>
  </si>
  <si>
    <t>-955,554583364208+1744,11518334301i</t>
  </si>
  <si>
    <t>-1256,96327631027+2200,99962368565i</t>
  </si>
  <si>
    <t>-1626,81035376032+2354,48465646957i</t>
  </si>
  <si>
    <t>-1059,28517249876+1300,97444017897i</t>
  </si>
  <si>
    <t>-1420,57688252143+2616,6943787389i</t>
  </si>
  <si>
    <t>-1731,61049527407+907,660637669392i</t>
  </si>
  <si>
    <t>-1325,75780701829+1303,50991200094i</t>
  </si>
  <si>
    <t>-447,52359219116+1178,50015029576i</t>
  </si>
  <si>
    <t>-1295,84280135371+1742,13874273449i</t>
  </si>
  <si>
    <t>-1015,30333883899+1850,38066618428i</t>
  </si>
  <si>
    <t>-1880,01529270634+1817,72555588186i</t>
  </si>
  <si>
    <t>-1601,92983053082+1562,00610972923i</t>
  </si>
  <si>
    <t>-1432,56684080744+736,200456853786i</t>
  </si>
  <si>
    <t>-1004,10314719157+779,323597169133i</t>
  </si>
  <si>
    <t>-862,755315213422+1536,76977141498i</t>
  </si>
  <si>
    <t>-1223,32541160376+1207,43473346271i</t>
  </si>
  <si>
    <t>-979,382898882263+1655,08249992123i</t>
  </si>
  <si>
    <t>-914,779791388357+1545,76170091664i</t>
  </si>
  <si>
    <t>-979,31003932321+1170,56388219668i</t>
  </si>
  <si>
    <t>-156,02168948133+624,997653372527i</t>
  </si>
  <si>
    <t>-55,0725759360952+1379,78941037385i</t>
  </si>
  <si>
    <t>-401,470541353951+1587,50586527512i</t>
  </si>
  <si>
    <t>-682,407845137751+1097,94277808014i</t>
  </si>
  <si>
    <t>-690,100000000004+1359i</t>
  </si>
  <si>
    <t>-371,429960170616+1382,85257995177i</t>
  </si>
  <si>
    <t>-740,298007044899+2305,96893107592i</t>
  </si>
  <si>
    <t>-1151,07136087105+956,953661687157i</t>
  </si>
  <si>
    <t>-745,53892619421+1255,5063374901i</t>
  </si>
  <si>
    <t>-1330,90314093326+1365,06825487433i</t>
  </si>
  <si>
    <t>-1072,02652505828+1274,11591392396i</t>
  </si>
  <si>
    <t>-979,496093380107+1435,87166224642i</t>
  </si>
  <si>
    <t>-836,783861867197+778,625600036576i</t>
  </si>
  <si>
    <t>-1060,14048172619+1645,40614113519i</t>
  </si>
  <si>
    <t>-895,777773231312+1220,46458383422i</t>
  </si>
  <si>
    <t>-1428,14954033734+1947,10443862056i</t>
  </si>
  <si>
    <t>-1004,38794132587+546,117673666604i</t>
  </si>
  <si>
    <t>-1333,44282428074+1316,18515507277i</t>
  </si>
  <si>
    <t>-603,439345100311+941,129581251672i</t>
  </si>
  <si>
    <t>-1252,8791653522+1183,62404058058i</t>
  </si>
  <si>
    <t>-1029,90238956777+1465,7337007674i</t>
  </si>
  <si>
    <t>-1568,8419904941+1395,61753293639i</t>
  </si>
  <si>
    <t>-1340,10102311657+1031,91131675351i</t>
  </si>
  <si>
    <t>-1574,58897187777+1211,6936977447i</t>
  </si>
  <si>
    <t>-974,538780787727+853,835680342434i</t>
  </si>
  <si>
    <t>-1170,83209550479+789,577847273938i</t>
  </si>
  <si>
    <t>-1372,9720269365+1059,82483601598i</t>
  </si>
  <si>
    <t>-1047,06140509041+905,892224039243i</t>
  </si>
  <si>
    <t>-1096,93135010479+1499,94742413904i</t>
  </si>
  <si>
    <t>-1132,07273699789+1672,20853112071i</t>
  </si>
  <si>
    <t>-1183,55127769447+1626,53938740082i</t>
  </si>
  <si>
    <t>-2071,70743986695+1444,09265290257i</t>
  </si>
  <si>
    <t>-1382,66495343193+690,307355818395i</t>
  </si>
  <si>
    <t>-1423,43458572099+1139,53870707666i</t>
  </si>
  <si>
    <t>-1781,38215958746+1174,85313575966i</t>
  </si>
  <si>
    <t>-1636,56558387438+851,917708946374i</t>
  </si>
  <si>
    <t>-1661,20660842379+1304,85554315268i</t>
  </si>
  <si>
    <t>-1517,66138991237+199,218546234748i</t>
  </si>
  <si>
    <t>-1351,72308770581+794,691299160584i</t>
  </si>
  <si>
    <t>-994,966815481296+390,49162919262i</t>
  </si>
  <si>
    <t>-1220,70537357703+1159,29133512583i</t>
  </si>
  <si>
    <t>-1107,53049678604+618,345086117434i</t>
  </si>
  <si>
    <t>-1702,63551288476+461,007890868858i</t>
  </si>
  <si>
    <t>-890,848943904812+903,984860584055i</t>
  </si>
  <si>
    <t>-1875,58927596205+365,629921847043i</t>
  </si>
  <si>
    <t>-1502,45627377287+309,599122847125i</t>
  </si>
  <si>
    <t>-1378,88793860844+766,526657785842i</t>
  </si>
  <si>
    <t>-1632,65990965512+471,300703589912i</t>
  </si>
  <si>
    <t>-840,464184892474+527,208112968652i</t>
  </si>
  <si>
    <t>-680,257161279099+365,630039781574i</t>
  </si>
  <si>
    <t>-1369,43057462467+1109,89492029901i</t>
  </si>
  <si>
    <t>-1069,17151307701+414,381181663827i</t>
  </si>
  <si>
    <t>-1018,14734937849+710,480738065659i</t>
  </si>
  <si>
    <t>-509,792242192141+540,011602187427i</t>
  </si>
  <si>
    <t>-623,059449899172+1065,71168041261i</t>
  </si>
  <si>
    <t>-484,640734310304+981,807365919781i</t>
  </si>
  <si>
    <t>-986,929485737782+935,284201631343i</t>
  </si>
  <si>
    <t>-590,525312000094+1899,83740500318i</t>
  </si>
  <si>
    <t>-1665,85391630216+900,380310976072i</t>
  </si>
  <si>
    <t>-1675,03686869628+934,842486712682i</t>
  </si>
  <si>
    <t>-1264,55539081194+821,249422289271i</t>
  </si>
  <si>
    <t>-1773,20460415731+1445,09770681262i</t>
  </si>
  <si>
    <t>-1166,35379757044+607,571153226486i</t>
  </si>
  <si>
    <t>-1324,05111117547+1291,40507580608i</t>
  </si>
  <si>
    <t>-1479,45546609187+1295,40112080064i</t>
  </si>
  <si>
    <t>-1440,34369017214+720,372242577057i</t>
  </si>
  <si>
    <t>-1360,10052085875+818,661109043343i</t>
  </si>
  <si>
    <t>-1555,82669798307+366,879379357807i</t>
  </si>
  <si>
    <t>-1663,69682604468+245,932638391305i</t>
  </si>
  <si>
    <t>-1594,09093678047+645,686892486753i</t>
  </si>
  <si>
    <t>-2211,9443283229+142,905729123206i</t>
  </si>
  <si>
    <t>-1691,1911192441+22,8336045392575i</t>
  </si>
  <si>
    <t>-1680,86842817653-596,33462331327i</t>
  </si>
  <si>
    <t>-1802,79829792843+182,436886970551i</t>
  </si>
  <si>
    <t>-1034,92232093944-96,9966266032654i</t>
  </si>
  <si>
    <t>-1693,8517454296+153,116785435412i</t>
  </si>
  <si>
    <t>-634,040387867467-174,018705653996i</t>
  </si>
  <si>
    <t>-1226,40352540842+175,918704105106i</t>
  </si>
  <si>
    <t>-945,070876411716+259,292561611163i</t>
  </si>
  <si>
    <t>-1238,11047787445+264,219631679185i</t>
  </si>
  <si>
    <t>-947,309672831776+919,47411337092i</t>
  </si>
  <si>
    <t>-1455,44780484611+330,092183148067i</t>
  </si>
  <si>
    <t>-1849,88618439504+162,154714982498i</t>
  </si>
  <si>
    <t>-1165,91572463394+461,950479797641i</t>
  </si>
  <si>
    <t>-1646,76469148773+92,8293990046932i</t>
  </si>
  <si>
    <t>-980,031034445582+275,652246067746i</t>
  </si>
  <si>
    <t>-1566,96365560405+180,678492147839i</t>
  </si>
  <si>
    <t>-1522,1475293539+203,21986682163i</t>
  </si>
  <si>
    <t>-770,121111638696+140,118386216093i</t>
  </si>
  <si>
    <t>-1591,53070681074+199,947687818031i</t>
  </si>
  <si>
    <t>-649,398093885186+267,892009797917i</t>
  </si>
  <si>
    <t>-1802,34850058984-48,3812572861493i</t>
  </si>
  <si>
    <t>-619,87469558733+458,420059528696i</t>
  </si>
  <si>
    <t>-1710,3071321917-116,572171377838i</t>
  </si>
  <si>
    <t>-1271,87919374781+580,298244041582i</t>
  </si>
  <si>
    <t>-1423,39718759937-173,503396539535i</t>
  </si>
  <si>
    <t>-1525,38793789297+738,454694459508i</t>
  </si>
  <si>
    <t>-1261,40406768609+190,652125374937i</t>
  </si>
  <si>
    <t>-1565,08483663805-44,4849966959027i</t>
  </si>
  <si>
    <t>-645,189670139453+111,309062930405i</t>
  </si>
  <si>
    <t>-1471,49562119096+252,091141188632i</t>
  </si>
  <si>
    <t>-955,999888122661+851,82397687825i</t>
  </si>
  <si>
    <t>-1407,05129185036+197,534848414146i</t>
  </si>
  <si>
    <t>-1505,53437743901+138,239673929699i</t>
  </si>
  <si>
    <t>-1282,03588214761+335,34046674245i</t>
  </si>
  <si>
    <t>-2247,82111396523+301,735696244681i</t>
  </si>
  <si>
    <t>-973,702045325597+96,2656173254954i</t>
  </si>
  <si>
    <t>-1736,54689884879+129,834199529237i</t>
  </si>
  <si>
    <t>-1409,59358667387-85,218705241065i</t>
  </si>
  <si>
    <t>-1633,92067667631-795,7195226725i</t>
  </si>
  <si>
    <t>-621,495818649277+17,3249213716981i</t>
  </si>
  <si>
    <t>-1078,65150732692-246,11338680333i</t>
  </si>
  <si>
    <t>-1206,61611527389+140,49913468289i</t>
  </si>
  <si>
    <t>-1130,76517282764-315,645310380409i</t>
  </si>
  <si>
    <t>-795,290241191846-280,341070501844i</t>
  </si>
  <si>
    <t>-890,425333051688-286,586498690337i</t>
  </si>
  <si>
    <t>-909,578550724478+256,390781638311i</t>
  </si>
  <si>
    <t>-789,761755804853+111,900451863223i</t>
  </si>
  <si>
    <t>-753,240429089181+528,821958543006i</t>
  </si>
  <si>
    <t>-1014,20196465761+300,614756822625i</t>
  </si>
  <si>
    <t>-908,387470154734+457,189192831325i</t>
  </si>
  <si>
    <t>-1420,41533807346+180,807499648507i</t>
  </si>
  <si>
    <t>-758,761939233589+325,896360328468i</t>
  </si>
  <si>
    <t>-1641,91059656754-42,2845076830945i</t>
  </si>
  <si>
    <t>-1263,22914393939+210,26585107221i</t>
  </si>
  <si>
    <t>-1186,5570387667-161,846441433712i</t>
  </si>
  <si>
    <t>-1058,43837162633+419,950263147311i</t>
  </si>
  <si>
    <t>-1318,42120230132+338,600773175538i</t>
  </si>
  <si>
    <t>-1347,58579412709+414,097402956555i</t>
  </si>
  <si>
    <t>-1717,46763798124+468,37235866399i</t>
  </si>
  <si>
    <t>-1636,33044495506+164,714300369007i</t>
  </si>
  <si>
    <t>-1763,68925630836-209,956574089687i</t>
  </si>
  <si>
    <t>-865,900000000023</t>
  </si>
  <si>
    <t>-1763,68925630848+209,956574089774i</t>
  </si>
  <si>
    <t>-1636,33044495511-164,71430036892i</t>
  </si>
  <si>
    <t>-1717,46763798131-468,372358663953i</t>
  </si>
  <si>
    <t>-1347,58579412714-414,097402956515i</t>
  </si>
  <si>
    <t>-1318,42120230136-338,600773175509i</t>
  </si>
  <si>
    <t>-1058,43837162636-419,950263147291i</t>
  </si>
  <si>
    <t>-1186,55703876672+161,846441433721i</t>
  </si>
  <si>
    <t>-1263,22914393942-210,265851072189i</t>
  </si>
  <si>
    <t>-1641,91059656757+42,284507683109i</t>
  </si>
  <si>
    <t>-758,76193923362-325,896360328459i</t>
  </si>
  <si>
    <t>-1420,41533807348-180,807499648495i</t>
  </si>
  <si>
    <t>-908,387470154762-457,189192831311i</t>
  </si>
  <si>
    <t>-1014,20196465762-300,614756822614i</t>
  </si>
  <si>
    <t>-753,240429089198-528,821958542996i</t>
  </si>
  <si>
    <t>-789,761755804866-111,900451863217i</t>
  </si>
  <si>
    <t>-909,578550724491-256,390781638303i</t>
  </si>
  <si>
    <t>-890,425333051699+286,586498690343i</t>
  </si>
  <si>
    <t>-795,290241191856+280,34107050185i</t>
  </si>
  <si>
    <t>-1130,76517282765+315,645310380414i</t>
  </si>
  <si>
    <t>-1206,6161152739-140,499134682884i</t>
  </si>
  <si>
    <t>-1078,65150732693+246,113386803341i</t>
  </si>
  <si>
    <t>-621,495818649281-17,3249213716872i</t>
  </si>
  <si>
    <t>-1633,92067667632+795,719522672514i</t>
  </si>
  <si>
    <t>-1409,59358667388+85,2187052410736i</t>
  </si>
  <si>
    <t>-1736,5468988488-129,834199529221i</t>
  </si>
  <si>
    <t>-973,702045325604-96,26561732549i</t>
  </si>
  <si>
    <t>-2247,82111396523-301,735696244664i</t>
  </si>
  <si>
    <t>-1282,03588214761-335,340466742437i</t>
  </si>
  <si>
    <t>-1505,53437743901-138,23967392968i</t>
  </si>
  <si>
    <t>-1407,05129185036-197,534848414128i</t>
  </si>
  <si>
    <t>-955,999888122662-851,823976878233i</t>
  </si>
  <si>
    <t>-1471,49562119097-252,091141188628i</t>
  </si>
  <si>
    <t>-645,18967013947-111,309062930397i</t>
  </si>
  <si>
    <t>-1565,08483663807+44,4849966959223i</t>
  </si>
  <si>
    <t>-1261,4040676861-190,652125374924i</t>
  </si>
  <si>
    <t>-1525,38793789299-738,454694459494i</t>
  </si>
  <si>
    <t>-1423,39718759938+173,503396539545i</t>
  </si>
  <si>
    <t>-1271,87919374782-580,298244041572i</t>
  </si>
  <si>
    <t>-1710,3071321917+116,572171377847i</t>
  </si>
  <si>
    <t>-619,874695587337-458,420059528692i</t>
  </si>
  <si>
    <t>-1802,34850058985+48,3812572861602i</t>
  </si>
  <si>
    <t>-649,398093885193-267,892009797909i</t>
  </si>
  <si>
    <t>-1591,53070681074-199,947687818021i</t>
  </si>
  <si>
    <t>-770,121111638701-140,118386216087i</t>
  </si>
  <si>
    <t>-1522,1475293539-203,219866821618i</t>
  </si>
  <si>
    <t>-1566,96365560405-180,678492147827i</t>
  </si>
  <si>
    <t>-980,031034445582-275,652246067736i</t>
  </si>
  <si>
    <t>-1646,76469148773-92,8293990046836i</t>
  </si>
  <si>
    <t>-1165,91572463395-461,950479797635i</t>
  </si>
  <si>
    <t>-1849,88618439504-162,154714982482i</t>
  </si>
  <si>
    <t>-1455,44780484611-330,092183148055i</t>
  </si>
  <si>
    <t>-947,309672831779-919,474113370913i</t>
  </si>
  <si>
    <t>-1238,11047787445-264,219631679174i</t>
  </si>
  <si>
    <t>-945,070876411715-259,292561611154i</t>
  </si>
  <si>
    <t>-1226,40352540841-175,918704105091i</t>
  </si>
  <si>
    <t>-634,040387867466+174,018705654004i</t>
  </si>
  <si>
    <t>-1693,8517454296-153,116785435398i</t>
  </si>
  <si>
    <t>-1034,92232093943+96,9966266032764i</t>
  </si>
  <si>
    <t>-1802,79829792843-182,436886970532i</t>
  </si>
  <si>
    <t>-1680,86842817652+596,334623313289i</t>
  </si>
  <si>
    <t>-1691,1911192441-22,8336045392393i</t>
  </si>
  <si>
    <t>-2211,9443283229-142,90572912318i</t>
  </si>
  <si>
    <t>-1594,09093678046-645,686892486721i</t>
  </si>
  <si>
    <t>-1663,69682604468-245,932638391305i</t>
  </si>
  <si>
    <t>-1555,82669798311-366,879379357794i</t>
  </si>
  <si>
    <t>-1360,10052085878-818,661109043332i</t>
  </si>
  <si>
    <t>-1440,34369017216-720,372242577049i</t>
  </si>
  <si>
    <t>-1479,45546609189-1295,40112080064i</t>
  </si>
  <si>
    <t>-1324,05111117549-1291,40507580608i</t>
  </si>
  <si>
    <t>-1166,35379757045-607,571153226479i</t>
  </si>
  <si>
    <t>-1773,20460415733-1445,09770681261i</t>
  </si>
  <si>
    <t>-1264,55539081195-821,249422289267i</t>
  </si>
  <si>
    <t>-1675,0368686963-934,842486712672i</t>
  </si>
  <si>
    <t>-1665,85391630218-900,380310976064i</t>
  </si>
  <si>
    <t>-590,525312000115-1899,83740500318i</t>
  </si>
  <si>
    <t>-986,929485737793-935,284201631341i</t>
  </si>
  <si>
    <t>-484,640734310314-981,807365919781i</t>
  </si>
  <si>
    <t>-623,059449899182-1065,7116804126i</t>
  </si>
  <si>
    <t>-509,792242192143-540,011602187426i</t>
  </si>
  <si>
    <t>-1018,1473493785-710,480738065654i</t>
  </si>
  <si>
    <t>-1069,17151307702-414,381181663823i</t>
  </si>
  <si>
    <t>-1369,43057462469-1109,89492029901i</t>
  </si>
  <si>
    <t>-680,257161279103-365,630039781572i</t>
  </si>
  <si>
    <t>-840,464184892477-527,208112968648i</t>
  </si>
  <si>
    <t>-1632,65990965513-471,300703589901i</t>
  </si>
  <si>
    <t>-1378,88793860845-766,526657785832i</t>
  </si>
  <si>
    <t>-1502,45627377287-309,599122847113i</t>
  </si>
  <si>
    <t>-1875,58927596205-365,629921847034i</t>
  </si>
  <si>
    <t>-890,848943904823-903,984860584051i</t>
  </si>
  <si>
    <t>-1702,63551288476-461,007890868846i</t>
  </si>
  <si>
    <t>-1107,53049678604-618,345086117423i</t>
  </si>
  <si>
    <t>-1220,70537357704-1159,29133512582i</t>
  </si>
  <si>
    <t>-994,966815481297-390,491629192608i</t>
  </si>
  <si>
    <t>-1351,72308770581-794,691299160566i</t>
  </si>
  <si>
    <t>-1517,66138991236-199,218546234724i</t>
  </si>
  <si>
    <t>-1661,2066084238-1304,85554315268i</t>
  </si>
  <si>
    <t>-1636,56558387441-851,917708946365i</t>
  </si>
  <si>
    <t>-1781,38215958748-1174,85313575964i</t>
  </si>
  <si>
    <t>-1423,43458572101-1139,53870707665i</t>
  </si>
  <si>
    <t>-1382,66495343195-690,307355818388i</t>
  </si>
  <si>
    <t>-2071,70743986696-1444,09265290255i</t>
  </si>
  <si>
    <t>-1183,55127769448-1626,53938740082i</t>
  </si>
  <si>
    <t>-1132,0727369979-1672,2085311207i</t>
  </si>
  <si>
    <t>-1096,9313501048-1499,94742413904i</t>
  </si>
  <si>
    <t>-1047,06140509042-905,892224039236i</t>
  </si>
  <si>
    <t>-1372,97202693651-1059,82483601597i</t>
  </si>
  <si>
    <t>-1170,83209550479-789,577847273931i</t>
  </si>
  <si>
    <t>-974,538780787733-853,835680342431i</t>
  </si>
  <si>
    <t>-1574,58897187778-1211,69369774469i</t>
  </si>
  <si>
    <t>-1340,10102311657-1031,91131675349i</t>
  </si>
  <si>
    <t>-1568,84199049411-1395,61753293637i</t>
  </si>
  <si>
    <t>-1029,90238956777-1465,73370076739i</t>
  </si>
  <si>
    <t>-1252,87916535221-1183,62404058057i</t>
  </si>
  <si>
    <t>-603,439345100322-941,129581251665i</t>
  </si>
  <si>
    <t>-1333,44282428075-1316,18515507275i</t>
  </si>
  <si>
    <t>-1004,38794132587-546,117673666591i</t>
  </si>
  <si>
    <t>-1428,14954033736-1947,10443862054i</t>
  </si>
  <si>
    <t>-895,777773231318-1220,46458383421i</t>
  </si>
  <si>
    <t>-1060,1404817262-1645,40614113517i</t>
  </si>
  <si>
    <t>-836,783861867199-778,62560003656i</t>
  </si>
  <si>
    <t>-979,496093380115-1435,87166224641i</t>
  </si>
  <si>
    <t>-1072,02652505828-1274,11591392394i</t>
  </si>
  <si>
    <t>-1330,90314093326-1365,06825487431i</t>
  </si>
  <si>
    <t>-745,538926194213-1255,50633749007i</t>
  </si>
  <si>
    <t>-1151,07136087105-956,953661687121i</t>
  </si>
  <si>
    <t>-740,298007044917-2305,96893107586i</t>
  </si>
  <si>
    <t>-371,429960170614-1382,8525799517i</t>
  </si>
  <si>
    <t>-690,100000000008-1359i</t>
  </si>
  <si>
    <t>-682,407845137833-1097,94277808015i</t>
  </si>
  <si>
    <t>-401,470541354009-1587,50586527511i</t>
  </si>
  <si>
    <t>-55,072575936132-1379,78941037387i</t>
  </si>
  <si>
    <t>-156,021689481364-624,997653372538i</t>
  </si>
  <si>
    <t>-979,310039323238-1170,56388219669i</t>
  </si>
  <si>
    <t>-914,77979138838-1545,76170091664i</t>
  </si>
  <si>
    <t>-979,382898882279-1655,08249992123i</t>
  </si>
  <si>
    <t>-1223,32541160378-1207,43473346271i</t>
  </si>
  <si>
    <t>-862,755315213449-1536,76977141499i</t>
  </si>
  <si>
    <t>-1004,10314719159-779,323597169137i</t>
  </si>
  <si>
    <t>-1432,56684080745-736,200456853785i</t>
  </si>
  <si>
    <t>-1601,92983053083-1562,00610972923i</t>
  </si>
  <si>
    <t>-1880,01529270636-1817,72555588185i</t>
  </si>
  <si>
    <t>-1015,30333883901-1850,38066618427i</t>
  </si>
  <si>
    <t>-1295,84280135372-1742,13874273449i</t>
  </si>
  <si>
    <t>-447,523592191172-1178,50015029577i</t>
  </si>
  <si>
    <t>-1325,75780701831-1303,50991200095i</t>
  </si>
  <si>
    <t>-1731,61049527408-907,660637669382i</t>
  </si>
  <si>
    <t>-1420,57688252145-2616,69437873889i</t>
  </si>
  <si>
    <t>-1059,28517249877-1300,97444017897i</t>
  </si>
  <si>
    <t>-1626,81035376034-2354,48465646957i</t>
  </si>
  <si>
    <t>-1256,96327631029-2200,99962368564i</t>
  </si>
  <si>
    <t>-955,554583364222-1744,115183343i</t>
  </si>
  <si>
    <t>-549,547479111872-1223,2723104075i</t>
  </si>
  <si>
    <t>-397,743036836299-1068,97309793592i</t>
  </si>
  <si>
    <t>-412,952463362602-817,474552159966i</t>
  </si>
  <si>
    <t>-1358,83998874584-1351,25184592463i</t>
  </si>
  <si>
    <t>-1571,07264852746-1774,8024434787i</t>
  </si>
  <si>
    <t>-1145,45559518992-2267,25464906036i</t>
  </si>
  <si>
    <t>-1502,02340656175-969,959755710661i</t>
  </si>
  <si>
    <t>-1882,68096153163-1884,17775373476i</t>
  </si>
  <si>
    <t>-1514,0021360965-1581,06441382938i</t>
  </si>
  <si>
    <t>-2230,84574824124-2397,60972124361i</t>
  </si>
  <si>
    <t>-2117,12973422898-2104,89154324123i</t>
  </si>
  <si>
    <t>-499,959866315897-2813,4193860736i</t>
  </si>
  <si>
    <t>-1105,36196991141-1668,74685389646i</t>
  </si>
  <si>
    <t>500,306489912617-1851,38679846804i</t>
  </si>
  <si>
    <t>-1838,3869849985-1265,8254370819i</t>
  </si>
  <si>
    <t>-1560,88858104984-2514,35219576612i</t>
  </si>
  <si>
    <t>-1906,61655416481-2498,344139086i</t>
  </si>
  <si>
    <t>-1334,01913301687-2160,93974072275i</t>
  </si>
  <si>
    <t>-687,227146241085-2855,24756483845i</t>
  </si>
  <si>
    <t>-1969,84420519152-1899,8216496864i</t>
  </si>
  <si>
    <t>-672,951292059339-2962,98657628136i</t>
  </si>
  <si>
    <t>-1471,04451319822-1877,68513111857i</t>
  </si>
  <si>
    <t>143,691168113125-1792,87062639164i</t>
  </si>
  <si>
    <t>-1489,77107014647-980,830734422215i</t>
  </si>
  <si>
    <t>-765,916930205188-2293,27954820869i</t>
  </si>
  <si>
    <t>-1247,01570922447-3020,86406423914i</t>
  </si>
  <si>
    <t>-31,3152886210879-2051,56499763045i</t>
  </si>
  <si>
    <t>-431,457458120494-2152,91729120045i</t>
  </si>
  <si>
    <t>-770,646708603907-876,65940923628i</t>
  </si>
  <si>
    <t>-980,059083140667-2628,23362292381i</t>
  </si>
  <si>
    <t>-876,182697508726-2259,69083682925i</t>
  </si>
  <si>
    <t>-1733,53087645956-2352,76124933666i</t>
  </si>
  <si>
    <t>-533,313771698621-3231,25969195472i</t>
  </si>
  <si>
    <t>-2010,66368596317-2342,02088825638i</t>
  </si>
  <si>
    <t>-1577,60786330994-2522,17162518417i</t>
  </si>
  <si>
    <t>-2243,61032880443-2743,52018613184i</t>
  </si>
  <si>
    <t>81,8385847981316-2582,63640825079i</t>
  </si>
  <si>
    <t>-1572,81823300212-2071,44495376051i</t>
  </si>
  <si>
    <t>-582,159062854853-3457,38253707469i</t>
  </si>
  <si>
    <t>-1206,24102462381-2064,57228583223i</t>
  </si>
  <si>
    <t>-2659,30317395532-3290,73263839129i</t>
  </si>
  <si>
    <t>-468,18615360076-3352,88417292138i</t>
  </si>
  <si>
    <t>-1627,8485923057-1048,81536988564i</t>
  </si>
  <si>
    <t>-1838,93298618555-2956,99828787666i</t>
  </si>
  <si>
    <t>-2048,9227218723-3270,76876223297i</t>
  </si>
  <si>
    <t>-475,247377154209-2599,40573092305i</t>
  </si>
  <si>
    <t>-1705,4429620064-3636,85975965145i</t>
  </si>
  <si>
    <t>-1513,06459082813-3115,3500758103i</t>
  </si>
  <si>
    <t>0,972865792815185-3957,98478686645i</t>
  </si>
  <si>
    <t>-799,349843456157-2948,4812051056i</t>
  </si>
  <si>
    <t>-837,357776957254-3419,1325483269i</t>
  </si>
  <si>
    <t>-544,667900740883-3795,3006441465i</t>
  </si>
  <si>
    <t>322,616035910397-4302,69363982073i</t>
  </si>
  <si>
    <t>-279,757137182426-4023,24006376936i</t>
  </si>
  <si>
    <t>-378,6569723174-4478,15812746175i</t>
  </si>
  <si>
    <t>-2299,75400260105-3801,3709588912i</t>
  </si>
  <si>
    <t>68,2969367154585-4237,36851736005i</t>
  </si>
  <si>
    <t>-477,6428706283-2615,97396039021i</t>
  </si>
  <si>
    <t>-1723,77108987481-4071,90685160807i</t>
  </si>
  <si>
    <t>-389,0825186161-4831,10105593013i</t>
  </si>
  <si>
    <t>-927,606798085264-4289,58305432832i</t>
  </si>
  <si>
    <t>-1793,3008257913-3422,61454332559i</t>
  </si>
  <si>
    <t>-1432,8522787978-5363,99927540154i</t>
  </si>
  <si>
    <t>-1284,62661644356-4636,60690749347i</t>
  </si>
  <si>
    <t>-1707,41676833621-4599,56314400025i</t>
  </si>
  <si>
    <t>-3884,58348102893-5235,2658327997i</t>
  </si>
  <si>
    <t>-732,929993460242-6405,454465981i</t>
  </si>
  <si>
    <t>-2639,41127180974-6263,1357542282i</t>
  </si>
  <si>
    <t>1167,09260567174-6010,96395699196i</t>
  </si>
  <si>
    <t>-1223,66268900949-5251,25347430815i</t>
  </si>
  <si>
    <t>321,759785006046-6251,36056278359i</t>
  </si>
  <si>
    <t>94,1563622171113-6635,70823612282i</t>
  </si>
  <si>
    <t>-1598,49563428876-5788,30001186533i</t>
  </si>
  <si>
    <t>-1029,26380996706-6720,42690199836i</t>
  </si>
  <si>
    <t>-3588,36555341704-6778,64513620666i</t>
  </si>
  <si>
    <t>326,98869022993-7684,27653376505i</t>
  </si>
  <si>
    <t>-337,391428222421-6510,03113004464i</t>
  </si>
  <si>
    <t>-785,864882350319-5504,15297816231i</t>
  </si>
  <si>
    <t>-5097,88547265465-8347,18122456382i</t>
  </si>
  <si>
    <t>-399,935549980742-8066,1169655739i</t>
  </si>
  <si>
    <t>-2655,31290720554-8144,48778467544i</t>
  </si>
  <si>
    <t>133,579575266406-11672,9499005581i</t>
  </si>
  <si>
    <t>906,376843985333-8206,6697081326i</t>
  </si>
  <si>
    <t>759,698732027112-9002,46416156417i</t>
  </si>
  <si>
    <t>-3809,49036439513-5697,22922404905i</t>
  </si>
  <si>
    <t>-3831,64520646761-6157,91095610625i</t>
  </si>
  <si>
    <t>-4179,36704224135-10126,6701104466i</t>
  </si>
  <si>
    <t>-3364,31097100469-8797,0717455043i</t>
  </si>
  <si>
    <t>-551,263433160649-11619,697539379i</t>
  </si>
  <si>
    <t>-4095,48184601928-14648,6171901078i</t>
  </si>
  <si>
    <t>-1345,19983704449-13605,3604612024i</t>
  </si>
  <si>
    <t>-2363,31263542518-15637,5180879052i</t>
  </si>
  <si>
    <t>-1248,40050389672-24989,4597567012i</t>
  </si>
  <si>
    <t>-2102,57238982932-16124,0343458958i</t>
  </si>
  <si>
    <t>-5967,47415347765-24368,3022391698i</t>
  </si>
  <si>
    <t>-827,814341126068-25726,4398529231i</t>
  </si>
  <si>
    <t>7943,15771914193-26164,6209437688i</t>
  </si>
  <si>
    <t>-6899,57402182444-20128,5584613439i</t>
  </si>
  <si>
    <t>2377,34343994966-31881,8576070549i</t>
  </si>
  <si>
    <t>5176,52986470892-33215,9793169515i</t>
  </si>
  <si>
    <t>15003,7314259865-52156,4313330474i</t>
  </si>
  <si>
    <t>5356,5949000156-56844,0151301824i</t>
  </si>
  <si>
    <t>59069,8487336341-66520,2560273039i</t>
  </si>
  <si>
    <t>43198,7800002349-116272,456455665i</t>
  </si>
  <si>
    <t>Μετά από 9 βήματα είχαμε τη πρώτη κορυφή!</t>
  </si>
  <si>
    <t>ΕΡΩΤΗΜΑ 2 ΕΛΕΓΧΟΣ ΣΤΑΣΙΜΟΤΗΤΑΣ</t>
  </si>
  <si>
    <t>ΕΡΩΤΗΜΑ 4</t>
  </si>
  <si>
    <t>ΕΡΩΤΗΜΑ 5</t>
  </si>
  <si>
    <t>P (Price)</t>
  </si>
  <si>
    <t>E(υπόλοιπα/στοχαστικότητα) - Ερ.5</t>
  </si>
  <si>
    <t xml:space="preserve">ΕΡΩΤΗΜΑ 8 </t>
  </si>
  <si>
    <t>max value:</t>
  </si>
  <si>
    <t>min value:</t>
  </si>
  <si>
    <t>(-15,-10)</t>
  </si>
  <si>
    <t>(-10,-5)</t>
  </si>
  <si>
    <t>(-5,0)</t>
  </si>
  <si>
    <t>(0,,5)</t>
  </si>
  <si>
    <t>(5,,10)</t>
  </si>
  <si>
    <t>(10,,15)</t>
  </si>
  <si>
    <t>Διαστήματα</t>
  </si>
  <si>
    <t>Πληθικότητα</t>
  </si>
  <si>
    <t>Μέση τιμή</t>
  </si>
  <si>
    <t>SUM</t>
  </si>
  <si>
    <t xml:space="preserve">  </t>
  </si>
  <si>
    <t xml:space="preserve">   </t>
  </si>
  <si>
    <t>ΕΡΩΤΗΜΑ 9:</t>
  </si>
  <si>
    <t>ΕΡΩΤΗΜΑ 10:</t>
  </si>
  <si>
    <t>ΕΡΩΤΗΜΑ 12:</t>
  </si>
  <si>
    <t>ΕΡΩΤΗΜΑ 13:</t>
  </si>
  <si>
    <t>ΕΡΩΤΗΜΑ 14:</t>
  </si>
  <si>
    <t>ΕΡΩΤΗΜΑ 15:</t>
  </si>
  <si>
    <t>ΕΡΩΤΗΜΑ 16:</t>
  </si>
  <si>
    <t>ΕΡΩΤΗΜΑ 17:</t>
  </si>
  <si>
    <t>ΕΡΩΤΗΜΑ 18:</t>
  </si>
  <si>
    <t>Απαντήσεις</t>
  </si>
  <si>
    <t>S (εποχικότητα) = Κάθε 9 τιμές, σύμφωνα με τη κορυφή του Fourier (με ομάδες των 9) - Ερ.4</t>
  </si>
  <si>
    <t>Πρώτες Διαφορές - Ερ.6</t>
  </si>
  <si>
    <t>ΕΡΩΤΗΜΑ 7 ΕΛΕΓΧΟΣ ΣΤΑΣΙΜΟΤΗΤΑΣ της σειράς των πρώτων διαφορών από το ερ.6</t>
  </si>
  <si>
    <t>Κατανομή συχνοτήτων του Δp</t>
  </si>
  <si>
    <t>Εύρεση της τυπικής απόκλισης της κατανομής του ερ.8, και διάστημα εμπιστοσύνης του</t>
  </si>
  <si>
    <t>Μέσος Όρος του Δp</t>
  </si>
  <si>
    <t xml:space="preserve">Οπότε το διάστημα εμπιστοσύνης 95% είναι: </t>
  </si>
  <si>
    <t>,</t>
  </si>
  <si>
    <t>(πόσο σκορπισμένες είναι οι μεταβολές του p)</t>
  </si>
  <si>
    <t>(ο μέσος όρος της διακύμανσης του p)</t>
  </si>
  <si>
    <t xml:space="preserve">Μας δείχνει τη κατανομή των μεταβολών της τιμής </t>
  </si>
  <si>
    <t>του χρυσου</t>
  </si>
  <si>
    <t>ΕΡΩΤΗΜΑ 11:</t>
  </si>
  <si>
    <t>Το var βρίσκεται κάτω από το -3,88 και πάνω από το 4,31</t>
  </si>
  <si>
    <r>
      <t>(var) 5% ακραία συμπεριφορά:</t>
    </r>
    <r>
      <rPr>
        <sz val="11"/>
        <color theme="1"/>
        <rFont val="Aptos Narrow"/>
        <family val="2"/>
        <charset val="161"/>
        <scheme val="minor"/>
      </rPr>
      <t xml:space="preserve"> &lt; -3.88 ή &gt; 4.31</t>
    </r>
  </si>
  <si>
    <t>Πλήθη</t>
  </si>
  <si>
    <t>(B2:B257)</t>
  </si>
  <si>
    <t>(B258:B513)</t>
  </si>
  <si>
    <t>(K3:K257)</t>
  </si>
  <si>
    <t>(k258:k512)</t>
  </si>
  <si>
    <t xml:space="preserve">           ,</t>
  </si>
  <si>
    <t>ΒΗΜΑ 3: Από τη στιγμή που που οι μέσοι όροι των 2</t>
  </si>
  <si>
    <t>Επειδή έχει ακανόνιστη μορφή, υπάρχει χάος.</t>
  </si>
  <si>
    <t>16 των 2:</t>
  </si>
  <si>
    <t>8 των 4:</t>
  </si>
  <si>
    <t>4 των 8:</t>
  </si>
  <si>
    <t>2 των 16:</t>
  </si>
  <si>
    <t>1 ομάδα των 32 σημείων:</t>
  </si>
  <si>
    <t>Περιγραφή</t>
  </si>
  <si>
    <t>Εύρη</t>
  </si>
  <si>
    <t>(B481:B512)</t>
  </si>
  <si>
    <t>Σημεία</t>
  </si>
  <si>
    <t>Μέσος Όρος</t>
  </si>
  <si>
    <t>Αποκλίσεις από Μέσο Όρο</t>
  </si>
  <si>
    <t>Total Απόκλιση</t>
  </si>
  <si>
    <t>S</t>
  </si>
  <si>
    <t>Αποκλίσεις ^2</t>
  </si>
  <si>
    <t>s</t>
  </si>
  <si>
    <t>Εύρος R</t>
  </si>
  <si>
    <t>R/S</t>
  </si>
  <si>
    <t>Log(R/S)</t>
  </si>
  <si>
    <t>High</t>
  </si>
  <si>
    <t>Low</t>
  </si>
  <si>
    <t>High - Low</t>
  </si>
  <si>
    <t>High - Close</t>
  </si>
  <si>
    <t>Low - Close</t>
  </si>
  <si>
    <t>log(n)</t>
  </si>
  <si>
    <t>Πλήθη σημείων (n)</t>
  </si>
  <si>
    <t>TR</t>
  </si>
  <si>
    <t>Average tr</t>
  </si>
  <si>
    <t>Τυπική απόκλιση των close (50 σημεία)</t>
  </si>
  <si>
    <t>Μέσο όρο των close (50 σημεία)</t>
  </si>
  <si>
    <t>Συμπληρωματικά +20 σημεία για τον υπολογισμό Μέσου όρου και τυπικής απόκλισης</t>
  </si>
  <si>
    <t>Μέσο ορο log(r/s)</t>
  </si>
  <si>
    <t>Ερμηνείες για ερωτήματα:</t>
  </si>
  <si>
    <t>ΕΡΩΤΗΜΑ 3</t>
  </si>
  <si>
    <t>Δp (Ερ.8+)</t>
  </si>
  <si>
    <t>Standard dev of Δp</t>
  </si>
  <si>
    <t>Βήμα 2: Για κάθε καταχώρηση κάθε γκρουπ κάθε ομάδας, βρίσκω το Μέσο όρο (μ), αποκλίσεις από μέσο όρο, την αθροιστική απόκλιση, καθώς και τα τετράγωνα των αποκλίσεων</t>
  </si>
  <si>
    <t xml:space="preserve">Βήμα 3: Για κάθε καταχώρηση κάθε γκρουπ κάθε ομάδας, βρίσκω το εύρος R (MaxTotalDeviation - MinTotalDeviation) </t>
  </si>
  <si>
    <t>Βήμα 5: Για κάθε γκρουπ κάθε ομάδας, υπολογίζω το συντελεστή R/S καθώς και το Log(R/S)</t>
  </si>
  <si>
    <t>Βήμα 6: Για κάθε γκρουπ, βρίσκω το Log(n), όπου n το πλήθος των σημείων ανά ομάδα</t>
  </si>
  <si>
    <t>Βήμα 7: Για κάθε γκρουπ, βρίσκω το Μέσο όρο log(r/s) των ομάδων του</t>
  </si>
  <si>
    <t>Βήμα 9: Ο αριθμός που προέκυψε από το βήμα 8 είναι ο δείκτης Hurst, και τον αξιολογώ</t>
  </si>
  <si>
    <t>(B497:B512)</t>
  </si>
  <si>
    <t>(B481:B496)</t>
  </si>
  <si>
    <t>(B505:B512)</t>
  </si>
  <si>
    <t>(B497:B504)</t>
  </si>
  <si>
    <t>(B489:B496)</t>
  </si>
  <si>
    <t>(B481:B488)</t>
  </si>
  <si>
    <t>(B509:B512)</t>
  </si>
  <si>
    <t>(B505:B508)</t>
  </si>
  <si>
    <t>Και  R= sqrt(R^2) = 0,8891</t>
  </si>
  <si>
    <t xml:space="preserve">Ο συντελεστής αυτοσυσχέτισης της στοχαστικότητας, όπως προέκυψε και γραφικά είναι  R^2 = 1E-07 </t>
  </si>
  <si>
    <t>Και R=sqrt(R^2) = 3,162277660168379e-4</t>
  </si>
  <si>
    <t>Fourier - Ερ.4</t>
  </si>
  <si>
    <t>S+E = Price - P' - Ερ.4</t>
  </si>
  <si>
    <t>Amplitude - Ερ.4</t>
  </si>
  <si>
    <t>Frequency - Ερ.4</t>
  </si>
  <si>
    <t>P' (τάση) - ΕΡΩΤΗΜΑ 3</t>
  </si>
  <si>
    <t>Close (της προηγούμενης μετρήσεως)</t>
  </si>
  <si>
    <t>Ημερομηνίες</t>
  </si>
  <si>
    <t>Ανοδική πορεία</t>
  </si>
  <si>
    <t>(N3:N248)</t>
  </si>
  <si>
    <t>(N249:N494)</t>
  </si>
  <si>
    <t>αυτών κομματιών διαφέρουν κατά 105,11% (&gt;15%), σημαίνει ότι η σειρά δεν είναι στάσιμη.</t>
  </si>
  <si>
    <t>ΒΗΜΑ 1: Χωρίζω τη σειρά σε 2 ισομεγεθή κομμάτια ((2-257) και (258-513))</t>
  </si>
  <si>
    <t>ΒΗΜΑ 1: Χωρίζω τη σειρά σε 2 ισομεγεθή κομμάτια ((3-257) και (258-512)). Λόγο της φύσης της σειράς, είμαστε με -1 καταχώρηση, για αυτό, και παίρνω τις τελευταίες 510 και όχι 511 καταχωρήσεις, για να είναι ισομεγεθή.</t>
  </si>
  <si>
    <t>ΒΗΜΑ 1: Χωρίζω τη σειρά σε 2 ισομεγεθή κομμάτια ((3-248) και (249-494)), των 246 τιμών η κάθε μια</t>
  </si>
  <si>
    <t>Χρονοσειρά πρώτων διαφορών της 15α- ερ16</t>
  </si>
  <si>
    <t>Χρονοσειρά κινητού Μ.Ο  P ανά 20 διαδοχικών βημάτων - Ερ.15α</t>
  </si>
  <si>
    <t>Χρονοσειρά κινητού Μ.Ο  P ανά 50 διαδοχικών βημάτων - Ερ.15β</t>
  </si>
  <si>
    <t>M.O log(r/s)</t>
  </si>
  <si>
    <t>(Τυπική απόκλιση/Μέσο όρο)*100 - ομογένεια</t>
  </si>
  <si>
    <t>(ATR/MO)*100 - ευστάθεια</t>
  </si>
  <si>
    <t xml:space="preserve">Ο συντελεστής αυτοσυσχέτισης, της αρχικής χρονοσειράς, όπως προέκυψε και γραφικά, είναι R^2 = 0,7905 </t>
  </si>
  <si>
    <t>En+1 Ερ.13</t>
  </si>
  <si>
    <t>Δp*100 -  Ερ14</t>
  </si>
  <si>
    <t>αυτών κομματιών διαφέρουν κατά 56.70% (&gt;15%), σημαίνει ότι η σειρά δεν είναι στάσιμη.</t>
  </si>
  <si>
    <r>
      <t>Βήμα 4:</t>
    </r>
    <r>
      <rPr>
        <sz val="11"/>
        <color theme="1"/>
        <rFont val="Aptos Narrow"/>
        <charset val="161"/>
        <scheme val="minor"/>
      </rPr>
      <t xml:space="preserve"> Για κάθε γκρουπ κάθε ομάδας, υπολογίζω το S</t>
    </r>
    <r>
      <rPr>
        <sz val="11"/>
        <color theme="1"/>
        <rFont val="Aptos Narrow"/>
        <family val="2"/>
        <charset val="161"/>
        <scheme val="minor"/>
      </rPr>
      <t xml:space="preserve"> (τετρ. Ρίζα του μέσου όρου των τετραγώνων των αποκλείσεων</t>
    </r>
  </si>
  <si>
    <t>Βήμα 1: Σπάω τις τελευταίες μετρήσεις της χρονοσειράς στις εξής ομάδες: 1 ομάδα των 32 καταχωρήσεων, 2 των 16, 4 των 8, 8 των 4, 16 των 2</t>
  </si>
  <si>
    <t>(B481:B484)</t>
  </si>
  <si>
    <t>(B485:B488)</t>
  </si>
  <si>
    <t>(B489:B492)</t>
  </si>
  <si>
    <t>(B493:B496)</t>
  </si>
  <si>
    <t>(B497:B500)</t>
  </si>
  <si>
    <t>(B501:B504)</t>
  </si>
  <si>
    <t>(B481:B482)</t>
  </si>
  <si>
    <t>(B483:B484)</t>
  </si>
  <si>
    <t>(B485:B486)</t>
  </si>
  <si>
    <t>(B487:B488)</t>
  </si>
  <si>
    <t>(B489:B490)</t>
  </si>
  <si>
    <t>(B491:B492)</t>
  </si>
  <si>
    <t>(B493:B494)</t>
  </si>
  <si>
    <t>(B495:B496)</t>
  </si>
  <si>
    <t>(B497:B498)</t>
  </si>
  <si>
    <t>(B499:B500)</t>
  </si>
  <si>
    <t>(B501:B502)</t>
  </si>
  <si>
    <t>(B503:B504)</t>
  </si>
  <si>
    <t>(B505:B506)</t>
  </si>
  <si>
    <t>(B507:B508)</t>
  </si>
  <si>
    <t>(B509:B510)</t>
  </si>
  <si>
    <t>(B511:B512)</t>
  </si>
  <si>
    <t>Βήμα 8: Συγκέντρωσα όλα τα log(n) από κάθε ομάδα, και βρήκα για κάθε ομάδα τον μέσο όρο των log(r/s) των γκρουπ τους. Έπειτα, κάνω το γράφημα αυτά τα 2 στοιχεία, και η κλίση της προκύπτουσας ευθείας, είναι και ο λόγος hurst</t>
  </si>
  <si>
    <t>Το Ε δείχνει υψηλή μεταβλητότητα/σπανιότητες μεγάλων κινήσεων. Δεν εμφανίζεται προφανής ανοδική ή πτωτική τάση στις διαφορές. Ταιριάζει στο χαρακτήρα του Ε. Μας δείχνει ότι η δυναμική του Ε είναι ακανόνιστη και χαοτική.</t>
  </si>
  <si>
    <t>Το φασικό πορτραίτο μας είναι πυκνό και με ακανόνιστο σχήμα, οπότε και υποδηλώνει απουσία περιοδικής συμπεριφοράς, μη προβλεπόμενη (χάος). Γενικά δείχνει τη δυναμική που κινείται η σειρά (πως κινήται).</t>
  </si>
  <si>
    <t>Πρώτα βρήκα τη συχνότητα του p, μετά τις τιμές P-P', μετά fourier(p). Μετά βρήκα το πλάτος (που χρησιμοποιεί τις τιμές fourier) και μετα με τη χρήση του πλάτους και της συχνότητας φτιάξαμε τη συνάρτηση της κυκλικότητας, από την οποία εντοπίσαμε ότι στην 9η τιμή, υπήρξε η πρώτη κορυφή (ανοδική).</t>
  </si>
  <si>
    <t xml:space="preserve"> Σύμφωνα με αυτή τη κορυφή, βρήκαμε το S (εποχικότητα), καθώς πήραμε από το p - p' 9 τιμές με βήμα 9 και το διαιρέσαμε με το 9, και αυτή τη διαδικασία τη κάναμε 9 φορές.</t>
  </si>
  <si>
    <t>Από τη στιγμή που που οι μέσοι όροι των 2 αυτών κομματιών διαφέρουν κατά 56,70% (&gt;15%), σημαίνει ότι η σειρά δεν είναι στάσιμη. Δεν υπάρχει λόγος αξιολόγησης των τυπικών τους αποκλίσεων εφόσον οι μ.ο τους απέχουν &gt;15%.</t>
  </si>
  <si>
    <t>Η γραφική παράσταση της τάσης της σειράς των p μας δείχνει μια ανηφόρα. Με άλλα λόγια, περιγράφει τη μακροπρόθεσμη κατεύθυνση των τιμών στο χρόνο (αυξητική στη περίπτωσή μας).</t>
  </si>
  <si>
    <t>Η συνάρτηση εποχικότητας S με περίοδο 9  μπορεί να αναλυθεί σε φάση 1-3:   Ανοδική (κορύφωση στη θέση 3: 188,99), φάση 4-7:   Καθοδική (χαμηλότερη τιμή στη θέση 7: 159,66) αλλά και σε φάση 8-9:  Μικρή ανάκαμψη και σταθεροποίηση. Ουσιαστικά το πως κυμαίνεται το p σε βάθος 9 βδομάδων.</t>
  </si>
  <si>
    <t>Η στοχαστικότητα μας δίνει τις τιμές που δεν μπορούμε να εξηγήσουμε μέσω της εποχικότητας και της τάσης. Είναι θόρυβος (τα υπόλοιπα).</t>
  </si>
  <si>
    <t>Οι πρώτες διαφορές δείχνουν το μέγεθος της αλλαγής από τη μια βδομάδα στην άλλη. Χρησιμεύουν στην εξομάλυνση διαφόρων ανωμαλιών/συναισθηματικών εκρήξεων.</t>
  </si>
  <si>
    <t>(Καλή αυτοσυσχέτιση/ευθεία, τα σημεία ακολουθούν σχετικά πιστά την ευθεία)</t>
  </si>
  <si>
    <t>Από τη στιγμή που (μέσο αληθινό εύρος)/(μέσο όρο των close)*100 &gt;3% &amp;&amp; &lt;5%, υπάρχει ασθενής αστάθεια.</t>
  </si>
  <si>
    <t>Η γραφική παράσταση απεικονίζει την εβδομαδιαία εξέλιξη της τιμής του χρυσού σε βάθος χρόνου 512 εβδομάδων. Εκ πρώτης όψεως, η χρονοσειρά φαίνεται να έχει μια ανοδική πορεία, πηγαίνοντας από το παρελθόν στο παρόν (10ετής ανάλυση Αύγουστος 2015 - 2025 - weekly data).</t>
  </si>
  <si>
    <t>Το value at risk παίρνει τιμές &lt;-3,88 &amp;&amp; &gt;4,31, που είναι ακραία συμπεριφορά και 5% πιθανό (αθροιστικά) να συμβεί, είτε στο θετικό είτε στο αρνητικό διάστημα.</t>
  </si>
  <si>
    <t>Μέσω τη διχοτόμιση της σειράς των πρώτων διαφορών σε 2 κομμάτια, και τη σύγκριση των μ.ο μπορώ να διαπιστώσω άμα είναι στάσιμη ή όχι. Στη προκειμένη περίπτωση, επειδή οι μ.ο των 2 κομματιών διαφέρουν κατά 76,3% &gt;15%, η σειρά δεν είναι στάσιμη (δεν έχει σταθερή διακύμανση τιμών).</t>
  </si>
  <si>
    <t>Ο λόγος hurst βγήκε 0,942 &gt; 0,55. Εφόσον H&gt;0.55 και μάλιστα πολύ κοντά στο 1, η χρονοσειρά παρουσιάζει ισχυρή επιμονή στη πορεία της (στη προκειμένη περίπτωση, ανοδική).</t>
  </si>
  <si>
    <t>Ο κινητός μέσος όρος 20 σημείων (βραχυπρόθεσμη πορεία) εξαλείφει  βραχυπρόθεσμες απότομες μεταβολές (εξομαλύνει τη γραφική παράσταση του p), και των 50 σημείων σε ακόμη μεγαλύτερο βαθμό (εστιάζει σε μακροπρόθεσμη κατεύθυνση/πορεία). Και στις 2 περιπτώσεις, παρουσιάζεται  μια ανοδική πορεία (ως επι των πλείστων).</t>
  </si>
  <si>
    <t>Αντιλαμβανόμαστε ότι η χρονοσειρά πρώτων διαφορών (αλλαγή από περίοδο σε περίοδο) της χρονοσειράς κινητού μέσου όρου P ανά 20 διαδοχικά βήματα (λείανση της σειράς), είναι μη στάσιμη. Δηλαδή οι αλλαγές από τα μεγέθη των αλλαγών της βραχυπρόθεσμης  τάσης των P, δεν είναι ούτε και αυτά στάσιμα, μιας και οι πρώτες διαφορές εστιάζουν στο μέγεθος της αλλαγής. Έγινε ένα φιλτράρισμα στο φιλτράρισμα της σειράς.</t>
  </si>
  <si>
    <t>Ο συντελεστής αυτοσυσχέτισης για την αρχική χρονοσειρά μας δείχνει ότι έχουμε καλή συσχέτιση σε σχέση με τη συνάρτηση τάσης (πόσο πιστά είναι τα σημεία στην ευθεία). Υπάρχει πολύ ισχυρή αυτοσυσχέτιση και εξάρτηση μεταξύ των παρατηρήσεων. Όσον αφορά τον συντελεστή αυτοσυσχέτισης της στοχαστικότητας,οι τιμές του είναι ασυσχέτιστες και τυχαίες.</t>
  </si>
  <si>
    <t>Από τη στιγμή που η (τυπική απόκλιση / μέσο όρο)*100 &gt;10%, υπάρχει πλήρη μη ομοιγένεια για τα τελευταία 50 σημεία του δείκτη και από τη στιγμή που (μέσο αληθινό εύρος)/(μέσο όρο των close)*100 &gt;3% &amp;&amp; &lt;5%, υπάρχει ασθενή αστάθεια.</t>
  </si>
  <si>
    <t>Από τη στιγμή που η (τυπική απόκλιση / μέσο όρο)*100 &gt;10%, υπάρχει πλήρης μη ομοιγένεια για τα τελευταία 50 σημεία του δείκτη.</t>
  </si>
  <si>
    <t>Μας δείχνει τη κατανομή των μεταβολών Δp της τιμής του χρυσού. Κατά γενική ομολογία, υπήρξαν κατά βάση μικρομεσαίες μεταβολές, κυρίως από -5 εώς 0 και από 0 εώς 5. Μικρές διακυμάνσεις των πρώτων διαφορών παρατηρούνται.</t>
  </si>
  <si>
    <t>αυτών κομματιών διαφέρουν κατά 84,7% (&gt;15%), σημαίνει ότι η σειρά  δεν είναι στάσιμη.</t>
  </si>
  <si>
    <t>Περίπου 95% των βδομάδων, οι μεταβολές κυμαίνονται μεταξύ -3.89% και +4.31%.</t>
  </si>
  <si>
    <t>Περίπου 95% των βδομάδων, οι μεταβολές κυμαίνονται μεταξύ -3.89% και +4.31%, με ακραία 5% συμπεριφορά: &lt; -3.88 ή &gt; 4.31</t>
  </si>
  <si>
    <t>Ο λόγος hurst βγήκε 0,942 &gt; 0,55</t>
  </si>
  <si>
    <t>Εφόσον H&gt;0.55 και μάλιστα πολύ κοντά στο 1, η χρονοσειρά παρουσιάζει ισχυρή</t>
  </si>
  <si>
    <t xml:space="preserve"> επιμονή στη πορεία της (στη προκειμένη περίπτωση, ανοδική).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</si>
</sst>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charset val="161"/>
      <scheme val="minor"/>
    </font>
    <font>
      <sz val="10"/>
      <color theme="1"/>
      <name val="Arial Unicode MS"/>
      <family val="2"/>
    </font>
    <font>
      <sz val="11"/>
      <name val="Aptos Narrow"/>
      <family val="2"/>
      <charset val="161"/>
      <scheme val="minor"/>
    </font>
    <font>
      <b/>
      <sz val="11"/>
      <color theme="1"/>
      <name val="Aptos Narrow"/>
      <family val="2"/>
      <charset val="161"/>
      <scheme val="minor"/>
    </font>
    <font>
      <sz val="11"/>
      <color theme="0"/>
      <name val="Aptos Narrow"/>
      <family val="2"/>
      <charset val="161"/>
      <scheme val="minor"/>
    </font>
    <font>
      <sz val="11"/>
      <name val="Aptos Narrow"/>
      <charset val="161"/>
      <scheme val="minor"/>
    </font>
    <font>
      <sz val="11"/>
      <color theme="1"/>
      <name val="Aptos Narrow"/>
      <charset val="161"/>
      <scheme val="minor"/>
    </font>
  </fonts>
  <fills count="23">
    <fill>
      <patternFill patternType="none"/>
    </fill>
    <fill>
      <patternFill patternType="gray125"/>
    </fill>
    <fill>
      <patternFill patternType="solid">
        <fgColor theme="6" tint="0.39997558519241921"/>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F6C3FF"/>
        <bgColor indexed="64"/>
      </patternFill>
    </fill>
    <fill>
      <patternFill patternType="solid">
        <fgColor theme="3" tint="0.499984740745262"/>
        <bgColor indexed="64"/>
      </patternFill>
    </fill>
    <fill>
      <patternFill patternType="solid">
        <fgColor rgb="FFFFFF00"/>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DCF0F4"/>
        <bgColor indexed="64"/>
      </patternFill>
    </fill>
    <fill>
      <patternFill patternType="solid">
        <fgColor theme="4" tint="-0.249977111117893"/>
        <bgColor indexed="64"/>
      </patternFill>
    </fill>
    <fill>
      <patternFill patternType="solid">
        <fgColor rgb="FFFF66FF"/>
        <bgColor indexed="64"/>
      </patternFill>
    </fill>
    <fill>
      <patternFill patternType="solid">
        <fgColor theme="5"/>
        <bgColor indexed="64"/>
      </patternFill>
    </fill>
    <fill>
      <patternFill patternType="solid">
        <fgColor rgb="FF808000"/>
        <bgColor indexed="64"/>
      </patternFill>
    </fill>
    <fill>
      <patternFill patternType="solid">
        <fgColor rgb="FF6DEAFB"/>
        <bgColor indexed="64"/>
      </patternFill>
    </fill>
    <fill>
      <patternFill patternType="solid">
        <fgColor rgb="FF549A6B"/>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5" tint="-0.249977111117893"/>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8">
    <xf numFmtId="0" fontId="0" fillId="0" borderId="0" xfId="0"/>
    <xf numFmtId="0" fontId="0" fillId="0" borderId="0" xfId="0" applyAlignment="1">
      <alignment horizontal="center"/>
    </xf>
    <xf numFmtId="0" fontId="0" fillId="2" borderId="0" xfId="0" applyFill="1"/>
    <xf numFmtId="0" fontId="0" fillId="4" borderId="0" xfId="0" applyFill="1"/>
    <xf numFmtId="0" fontId="1" fillId="0" borderId="0" xfId="0" applyFont="1" applyAlignment="1">
      <alignment vertical="center"/>
    </xf>
    <xf numFmtId="0" fontId="0" fillId="0" borderId="1" xfId="0" applyBorder="1" applyAlignment="1">
      <alignment horizontal="center" wrapText="1"/>
    </xf>
    <xf numFmtId="0" fontId="0" fillId="3" borderId="1" xfId="0" applyFill="1" applyBorder="1" applyAlignment="1">
      <alignment horizontal="center" wrapText="1"/>
    </xf>
    <xf numFmtId="0" fontId="2" fillId="5" borderId="0" xfId="0" applyFont="1" applyFill="1"/>
    <xf numFmtId="0" fontId="0" fillId="6" borderId="2" xfId="0" applyFill="1" applyBorder="1" applyAlignment="1">
      <alignment horizontal="center" wrapText="1"/>
    </xf>
    <xf numFmtId="0" fontId="0" fillId="6" borderId="0" xfId="0" applyFill="1"/>
    <xf numFmtId="0" fontId="0" fillId="0" borderId="0" xfId="0" applyAlignment="1">
      <alignment horizontal="center" wrapText="1"/>
    </xf>
    <xf numFmtId="0" fontId="0" fillId="7" borderId="1" xfId="0" applyFill="1" applyBorder="1" applyAlignment="1">
      <alignment horizontal="center" wrapText="1"/>
    </xf>
    <xf numFmtId="0" fontId="0" fillId="8" borderId="0" xfId="0" applyFill="1"/>
    <xf numFmtId="0" fontId="0" fillId="9" borderId="0" xfId="0" applyFill="1"/>
    <xf numFmtId="0" fontId="0" fillId="10" borderId="0" xfId="0" applyFill="1"/>
    <xf numFmtId="0" fontId="4" fillId="11" borderId="0" xfId="0" applyFont="1" applyFill="1" applyAlignment="1">
      <alignment wrapText="1"/>
    </xf>
    <xf numFmtId="0" fontId="0" fillId="12" borderId="0" xfId="0" applyFill="1"/>
    <xf numFmtId="0" fontId="3" fillId="0" borderId="0" xfId="0" applyFont="1"/>
    <xf numFmtId="0" fontId="0" fillId="13" borderId="0" xfId="0" applyFill="1"/>
    <xf numFmtId="0" fontId="0" fillId="14" borderId="0" xfId="0" applyFill="1"/>
    <xf numFmtId="0" fontId="0" fillId="15" borderId="0" xfId="0" applyFill="1" applyAlignment="1">
      <alignment horizontal="center" wrapText="1"/>
    </xf>
    <xf numFmtId="0" fontId="0" fillId="9" borderId="0" xfId="0" applyFill="1" applyAlignment="1">
      <alignment horizontal="center"/>
    </xf>
    <xf numFmtId="0" fontId="0" fillId="16" borderId="0" xfId="0" applyFill="1" applyAlignment="1">
      <alignment horizontal="center" wrapText="1"/>
    </xf>
    <xf numFmtId="0" fontId="0" fillId="15" borderId="0" xfId="0" applyFill="1"/>
    <xf numFmtId="0" fontId="0" fillId="16" borderId="0" xfId="0" applyFill="1"/>
    <xf numFmtId="0" fontId="0" fillId="0" borderId="0" xfId="0" applyAlignment="1">
      <alignment wrapText="1"/>
    </xf>
    <xf numFmtId="0" fontId="0" fillId="17" borderId="0" xfId="0" applyFill="1" applyAlignment="1">
      <alignment wrapText="1"/>
    </xf>
    <xf numFmtId="0" fontId="0" fillId="17" borderId="0" xfId="0" applyFill="1"/>
    <xf numFmtId="0" fontId="0" fillId="18" borderId="0" xfId="0" applyFill="1"/>
    <xf numFmtId="0" fontId="0" fillId="19" borderId="0" xfId="0" applyFill="1" applyAlignment="1">
      <alignment wrapText="1"/>
    </xf>
    <xf numFmtId="0" fontId="0" fillId="20" borderId="0" xfId="0" applyFill="1"/>
    <xf numFmtId="0" fontId="0" fillId="20" borderId="0" xfId="0" applyFill="1" applyAlignment="1">
      <alignment wrapText="1"/>
    </xf>
    <xf numFmtId="0" fontId="0" fillId="7" borderId="0" xfId="0" applyFill="1"/>
    <xf numFmtId="0" fontId="0" fillId="21" borderId="0" xfId="0" applyFill="1"/>
    <xf numFmtId="0" fontId="0" fillId="3" borderId="0" xfId="0" applyFill="1"/>
    <xf numFmtId="0" fontId="0" fillId="22" borderId="1" xfId="0" applyFill="1" applyBorder="1" applyAlignment="1">
      <alignment horizontal="center" wrapText="1"/>
    </xf>
    <xf numFmtId="14" fontId="0" fillId="0" borderId="0" xfId="0" applyNumberFormat="1"/>
    <xf numFmtId="0" fontId="5" fillId="0" borderId="0" xfId="0" applyFon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6FF"/>
      <color rgb="FF549A6B"/>
      <color rgb="FF6DEAFB"/>
      <color rgb="FF808000"/>
      <color rgb="FFDCF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Η</a:t>
            </a:r>
            <a:r>
              <a:rPr lang="el-GR" baseline="0"/>
              <a:t> γραφική παράσταση της χρονοσειράς - Ερώτημα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manualLayout>
          <c:layoutTarget val="inner"/>
          <c:xMode val="edge"/>
          <c:yMode val="edge"/>
          <c:x val="9.1914260717410323E-2"/>
          <c:y val="0.17634259259259263"/>
          <c:w val="0.85853018372703416"/>
          <c:h val="0.72088764946048411"/>
        </c:manualLayout>
      </c:layout>
      <c:scatterChart>
        <c:scatterStyle val="line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9445488855253182"/>
                  <c:y val="-6.09766970762569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trendlineLbl>
          </c:trendline>
          <c:yVal>
            <c:numRef>
              <c:f>'Gold Futures Historical Data'!$B$2:$B$527</c:f>
              <c:numCache>
                <c:formatCode>General</c:formatCode>
                <c:ptCount val="526"/>
                <c:pt idx="0">
                  <c:v>1065</c:v>
                </c:pt>
                <c:pt idx="1">
                  <c:v>1075.9000000000001</c:v>
                </c:pt>
                <c:pt idx="2">
                  <c:v>1060.2</c:v>
                </c:pt>
                <c:pt idx="3">
                  <c:v>1097.9000000000001</c:v>
                </c:pt>
                <c:pt idx="4">
                  <c:v>1090.7</c:v>
                </c:pt>
                <c:pt idx="5">
                  <c:v>1096.3</c:v>
                </c:pt>
                <c:pt idx="6">
                  <c:v>1116.4000000000001</c:v>
                </c:pt>
                <c:pt idx="7">
                  <c:v>1157.7</c:v>
                </c:pt>
                <c:pt idx="8">
                  <c:v>1239.4000000000001</c:v>
                </c:pt>
                <c:pt idx="9">
                  <c:v>1230.8</c:v>
                </c:pt>
                <c:pt idx="10">
                  <c:v>1220.4000000000001</c:v>
                </c:pt>
                <c:pt idx="11">
                  <c:v>1270.7</c:v>
                </c:pt>
                <c:pt idx="12">
                  <c:v>1259.4000000000001</c:v>
                </c:pt>
                <c:pt idx="13">
                  <c:v>1254.3</c:v>
                </c:pt>
                <c:pt idx="14">
                  <c:v>1221.5999999999999</c:v>
                </c:pt>
                <c:pt idx="15">
                  <c:v>1223.5</c:v>
                </c:pt>
                <c:pt idx="16">
                  <c:v>1243.8</c:v>
                </c:pt>
                <c:pt idx="17">
                  <c:v>1234.5999999999999</c:v>
                </c:pt>
                <c:pt idx="18">
                  <c:v>1230</c:v>
                </c:pt>
                <c:pt idx="19">
                  <c:v>1290.5</c:v>
                </c:pt>
                <c:pt idx="20">
                  <c:v>1294</c:v>
                </c:pt>
                <c:pt idx="21">
                  <c:v>1272.7</c:v>
                </c:pt>
                <c:pt idx="22">
                  <c:v>1252.9000000000001</c:v>
                </c:pt>
                <c:pt idx="23">
                  <c:v>1216.7</c:v>
                </c:pt>
                <c:pt idx="24">
                  <c:v>1242.9000000000001</c:v>
                </c:pt>
                <c:pt idx="25">
                  <c:v>1275.9000000000001</c:v>
                </c:pt>
                <c:pt idx="26">
                  <c:v>1294.8</c:v>
                </c:pt>
                <c:pt idx="27">
                  <c:v>1322.4</c:v>
                </c:pt>
                <c:pt idx="28">
                  <c:v>1339</c:v>
                </c:pt>
                <c:pt idx="29">
                  <c:v>1358.4</c:v>
                </c:pt>
                <c:pt idx="30">
                  <c:v>1327.4</c:v>
                </c:pt>
                <c:pt idx="31">
                  <c:v>1323.4</c:v>
                </c:pt>
                <c:pt idx="32">
                  <c:v>1357.5</c:v>
                </c:pt>
                <c:pt idx="33">
                  <c:v>1344.4</c:v>
                </c:pt>
                <c:pt idx="34">
                  <c:v>1343.2</c:v>
                </c:pt>
                <c:pt idx="35">
                  <c:v>1346.2</c:v>
                </c:pt>
                <c:pt idx="36">
                  <c:v>1325.9</c:v>
                </c:pt>
                <c:pt idx="37">
                  <c:v>1326.7</c:v>
                </c:pt>
                <c:pt idx="38">
                  <c:v>1334.5</c:v>
                </c:pt>
                <c:pt idx="39">
                  <c:v>1310.2</c:v>
                </c:pt>
                <c:pt idx="40">
                  <c:v>1341.7</c:v>
                </c:pt>
                <c:pt idx="41">
                  <c:v>1317.1</c:v>
                </c:pt>
                <c:pt idx="42">
                  <c:v>1251.9000000000001</c:v>
                </c:pt>
                <c:pt idx="43">
                  <c:v>1255.5</c:v>
                </c:pt>
                <c:pt idx="44">
                  <c:v>1267.7</c:v>
                </c:pt>
                <c:pt idx="45">
                  <c:v>1276.8</c:v>
                </c:pt>
                <c:pt idx="46">
                  <c:v>1304.5</c:v>
                </c:pt>
                <c:pt idx="47">
                  <c:v>1224.3</c:v>
                </c:pt>
                <c:pt idx="48">
                  <c:v>1208.7</c:v>
                </c:pt>
                <c:pt idx="49">
                  <c:v>1178.4000000000001</c:v>
                </c:pt>
                <c:pt idx="50">
                  <c:v>1177.8</c:v>
                </c:pt>
                <c:pt idx="51">
                  <c:v>1161.9000000000001</c:v>
                </c:pt>
                <c:pt idx="52">
                  <c:v>1137.4000000000001</c:v>
                </c:pt>
                <c:pt idx="53">
                  <c:v>1133.5999999999999</c:v>
                </c:pt>
                <c:pt idx="54">
                  <c:v>1151.7</c:v>
                </c:pt>
                <c:pt idx="55">
                  <c:v>1173.4000000000001</c:v>
                </c:pt>
                <c:pt idx="56">
                  <c:v>1196.2</c:v>
                </c:pt>
                <c:pt idx="57">
                  <c:v>1204.9000000000001</c:v>
                </c:pt>
                <c:pt idx="58">
                  <c:v>1188.4000000000001</c:v>
                </c:pt>
                <c:pt idx="59">
                  <c:v>1220.8</c:v>
                </c:pt>
                <c:pt idx="60">
                  <c:v>1235.9000000000001</c:v>
                </c:pt>
                <c:pt idx="61">
                  <c:v>1239.0999999999999</c:v>
                </c:pt>
                <c:pt idx="62">
                  <c:v>1258.3</c:v>
                </c:pt>
                <c:pt idx="63">
                  <c:v>1226.5</c:v>
                </c:pt>
                <c:pt idx="64">
                  <c:v>1201.4000000000001</c:v>
                </c:pt>
                <c:pt idx="65">
                  <c:v>1230.2</c:v>
                </c:pt>
                <c:pt idx="66">
                  <c:v>1248.5</c:v>
                </c:pt>
                <c:pt idx="67">
                  <c:v>1251.2</c:v>
                </c:pt>
                <c:pt idx="68">
                  <c:v>1257.3</c:v>
                </c:pt>
                <c:pt idx="69">
                  <c:v>1288.5</c:v>
                </c:pt>
                <c:pt idx="70">
                  <c:v>1289.0999999999999</c:v>
                </c:pt>
                <c:pt idx="71">
                  <c:v>1268.3</c:v>
                </c:pt>
                <c:pt idx="72">
                  <c:v>1226.9000000000001</c:v>
                </c:pt>
                <c:pt idx="73">
                  <c:v>1227.7</c:v>
                </c:pt>
                <c:pt idx="74">
                  <c:v>1253.5999999999999</c:v>
                </c:pt>
                <c:pt idx="75">
                  <c:v>1268.0999999999999</c:v>
                </c:pt>
                <c:pt idx="76">
                  <c:v>1280.2</c:v>
                </c:pt>
                <c:pt idx="77">
                  <c:v>1271.4000000000001</c:v>
                </c:pt>
                <c:pt idx="78">
                  <c:v>1256.5</c:v>
                </c:pt>
                <c:pt idx="79">
                  <c:v>1256.4000000000001</c:v>
                </c:pt>
                <c:pt idx="80">
                  <c:v>1242.3</c:v>
                </c:pt>
                <c:pt idx="81">
                  <c:v>1209.7</c:v>
                </c:pt>
                <c:pt idx="82">
                  <c:v>1227.5</c:v>
                </c:pt>
                <c:pt idx="83">
                  <c:v>1254.9000000000001</c:v>
                </c:pt>
                <c:pt idx="84">
                  <c:v>1275.3</c:v>
                </c:pt>
                <c:pt idx="85">
                  <c:v>1264.5999999999999</c:v>
                </c:pt>
                <c:pt idx="86">
                  <c:v>1294</c:v>
                </c:pt>
                <c:pt idx="87">
                  <c:v>1291.5999999999999</c:v>
                </c:pt>
                <c:pt idx="88">
                  <c:v>1297.9000000000001</c:v>
                </c:pt>
                <c:pt idx="89">
                  <c:v>1330.4</c:v>
                </c:pt>
                <c:pt idx="90">
                  <c:v>1351.2</c:v>
                </c:pt>
                <c:pt idx="91">
                  <c:v>1325.2</c:v>
                </c:pt>
                <c:pt idx="92">
                  <c:v>1297.5</c:v>
                </c:pt>
                <c:pt idx="93">
                  <c:v>1284.8</c:v>
                </c:pt>
                <c:pt idx="94">
                  <c:v>1274.9000000000001</c:v>
                </c:pt>
                <c:pt idx="95">
                  <c:v>1304.5999999999999</c:v>
                </c:pt>
                <c:pt idx="96">
                  <c:v>1280.5</c:v>
                </c:pt>
                <c:pt idx="97">
                  <c:v>1271.8</c:v>
                </c:pt>
                <c:pt idx="98">
                  <c:v>1269.2</c:v>
                </c:pt>
                <c:pt idx="99">
                  <c:v>1274.2</c:v>
                </c:pt>
                <c:pt idx="100">
                  <c:v>1296.5</c:v>
                </c:pt>
                <c:pt idx="101">
                  <c:v>1287.3</c:v>
                </c:pt>
                <c:pt idx="102">
                  <c:v>1282.3</c:v>
                </c:pt>
                <c:pt idx="103">
                  <c:v>1248.4000000000001</c:v>
                </c:pt>
                <c:pt idx="104">
                  <c:v>1257.5</c:v>
                </c:pt>
                <c:pt idx="105">
                  <c:v>1278.8</c:v>
                </c:pt>
                <c:pt idx="106">
                  <c:v>1309.3</c:v>
                </c:pt>
                <c:pt idx="107">
                  <c:v>1322.3</c:v>
                </c:pt>
                <c:pt idx="108">
                  <c:v>1334.9</c:v>
                </c:pt>
                <c:pt idx="109">
                  <c:v>1333.1</c:v>
                </c:pt>
                <c:pt idx="110">
                  <c:v>1352.1</c:v>
                </c:pt>
                <c:pt idx="111">
                  <c:v>1337.3</c:v>
                </c:pt>
                <c:pt idx="112">
                  <c:v>1315.7</c:v>
                </c:pt>
                <c:pt idx="113">
                  <c:v>1356.2</c:v>
                </c:pt>
                <c:pt idx="114">
                  <c:v>1330.3</c:v>
                </c:pt>
                <c:pt idx="115">
                  <c:v>1323.4</c:v>
                </c:pt>
                <c:pt idx="116">
                  <c:v>1324</c:v>
                </c:pt>
                <c:pt idx="117">
                  <c:v>1312.3</c:v>
                </c:pt>
                <c:pt idx="118">
                  <c:v>1349.9</c:v>
                </c:pt>
                <c:pt idx="119">
                  <c:v>1327.3</c:v>
                </c:pt>
                <c:pt idx="120">
                  <c:v>1336.1</c:v>
                </c:pt>
                <c:pt idx="121">
                  <c:v>1347.9</c:v>
                </c:pt>
                <c:pt idx="122">
                  <c:v>1338.3</c:v>
                </c:pt>
                <c:pt idx="123">
                  <c:v>1323.4</c:v>
                </c:pt>
                <c:pt idx="124">
                  <c:v>1314.7</c:v>
                </c:pt>
                <c:pt idx="125">
                  <c:v>1320.7</c:v>
                </c:pt>
                <c:pt idx="126">
                  <c:v>1291.3</c:v>
                </c:pt>
                <c:pt idx="127">
                  <c:v>1303.7</c:v>
                </c:pt>
                <c:pt idx="128">
                  <c:v>1299.3</c:v>
                </c:pt>
                <c:pt idx="129">
                  <c:v>1302.7</c:v>
                </c:pt>
                <c:pt idx="130">
                  <c:v>1278.5</c:v>
                </c:pt>
                <c:pt idx="131">
                  <c:v>1270.7</c:v>
                </c:pt>
                <c:pt idx="132">
                  <c:v>1254.5</c:v>
                </c:pt>
                <c:pt idx="133">
                  <c:v>1255.8</c:v>
                </c:pt>
                <c:pt idx="134">
                  <c:v>1241.2</c:v>
                </c:pt>
                <c:pt idx="135">
                  <c:v>1231.0999999999999</c:v>
                </c:pt>
                <c:pt idx="136">
                  <c:v>1223</c:v>
                </c:pt>
                <c:pt idx="137">
                  <c:v>1223.2</c:v>
                </c:pt>
                <c:pt idx="138">
                  <c:v>1219</c:v>
                </c:pt>
                <c:pt idx="139">
                  <c:v>1184.2</c:v>
                </c:pt>
                <c:pt idx="140">
                  <c:v>1213.3</c:v>
                </c:pt>
                <c:pt idx="141">
                  <c:v>1206.7</c:v>
                </c:pt>
                <c:pt idx="142">
                  <c:v>1200.4000000000001</c:v>
                </c:pt>
                <c:pt idx="143">
                  <c:v>1201.0999999999999</c:v>
                </c:pt>
                <c:pt idx="144">
                  <c:v>1201.3</c:v>
                </c:pt>
                <c:pt idx="145">
                  <c:v>1196.2</c:v>
                </c:pt>
                <c:pt idx="146">
                  <c:v>1205.5999999999999</c:v>
                </c:pt>
                <c:pt idx="147">
                  <c:v>1222</c:v>
                </c:pt>
                <c:pt idx="148">
                  <c:v>1228.7</c:v>
                </c:pt>
                <c:pt idx="149">
                  <c:v>1235.8</c:v>
                </c:pt>
                <c:pt idx="150">
                  <c:v>1233.3</c:v>
                </c:pt>
                <c:pt idx="151">
                  <c:v>1208.5999999999999</c:v>
                </c:pt>
                <c:pt idx="152">
                  <c:v>1223</c:v>
                </c:pt>
                <c:pt idx="153">
                  <c:v>1223.2</c:v>
                </c:pt>
                <c:pt idx="154">
                  <c:v>1226</c:v>
                </c:pt>
                <c:pt idx="155">
                  <c:v>1252.5999999999999</c:v>
                </c:pt>
                <c:pt idx="156">
                  <c:v>1241.4000000000001</c:v>
                </c:pt>
                <c:pt idx="157">
                  <c:v>1258.0999999999999</c:v>
                </c:pt>
                <c:pt idx="158">
                  <c:v>1283</c:v>
                </c:pt>
                <c:pt idx="159">
                  <c:v>1285.8</c:v>
                </c:pt>
                <c:pt idx="160">
                  <c:v>1289.5</c:v>
                </c:pt>
                <c:pt idx="161">
                  <c:v>1282.5999999999999</c:v>
                </c:pt>
                <c:pt idx="162">
                  <c:v>1298.0999999999999</c:v>
                </c:pt>
                <c:pt idx="163">
                  <c:v>1322.1</c:v>
                </c:pt>
                <c:pt idx="164">
                  <c:v>1318.5</c:v>
                </c:pt>
                <c:pt idx="165">
                  <c:v>1322.1</c:v>
                </c:pt>
                <c:pt idx="166">
                  <c:v>1332.8</c:v>
                </c:pt>
                <c:pt idx="167">
                  <c:v>1299.2</c:v>
                </c:pt>
                <c:pt idx="168">
                  <c:v>1299.3</c:v>
                </c:pt>
                <c:pt idx="169">
                  <c:v>1302.9000000000001</c:v>
                </c:pt>
                <c:pt idx="170">
                  <c:v>1312.3</c:v>
                </c:pt>
                <c:pt idx="171">
                  <c:v>1304.5</c:v>
                </c:pt>
                <c:pt idx="172">
                  <c:v>1301.7</c:v>
                </c:pt>
                <c:pt idx="173">
                  <c:v>1301.2</c:v>
                </c:pt>
                <c:pt idx="174">
                  <c:v>1282</c:v>
                </c:pt>
                <c:pt idx="175">
                  <c:v>1294.8</c:v>
                </c:pt>
                <c:pt idx="176">
                  <c:v>1287.2</c:v>
                </c:pt>
                <c:pt idx="177">
                  <c:v>1293.3</c:v>
                </c:pt>
                <c:pt idx="178">
                  <c:v>1281.4000000000001</c:v>
                </c:pt>
                <c:pt idx="179">
                  <c:v>1289.2</c:v>
                </c:pt>
                <c:pt idx="180">
                  <c:v>1316.9</c:v>
                </c:pt>
                <c:pt idx="181">
                  <c:v>1351.8</c:v>
                </c:pt>
                <c:pt idx="182">
                  <c:v>1350.4</c:v>
                </c:pt>
                <c:pt idx="183">
                  <c:v>1405.9</c:v>
                </c:pt>
                <c:pt idx="184">
                  <c:v>1419.6</c:v>
                </c:pt>
                <c:pt idx="185">
                  <c:v>1406.3</c:v>
                </c:pt>
                <c:pt idx="186">
                  <c:v>1418.5</c:v>
                </c:pt>
                <c:pt idx="187">
                  <c:v>1433.2</c:v>
                </c:pt>
                <c:pt idx="188">
                  <c:v>1425.9</c:v>
                </c:pt>
                <c:pt idx="189">
                  <c:v>1457.5</c:v>
                </c:pt>
                <c:pt idx="190">
                  <c:v>1508.5</c:v>
                </c:pt>
                <c:pt idx="191">
                  <c:v>1523.6</c:v>
                </c:pt>
                <c:pt idx="192">
                  <c:v>1537.6</c:v>
                </c:pt>
                <c:pt idx="193">
                  <c:v>1529.4</c:v>
                </c:pt>
                <c:pt idx="194">
                  <c:v>1515.5</c:v>
                </c:pt>
                <c:pt idx="195">
                  <c:v>1499.5</c:v>
                </c:pt>
                <c:pt idx="196">
                  <c:v>1515.1</c:v>
                </c:pt>
                <c:pt idx="197">
                  <c:v>1513.1</c:v>
                </c:pt>
                <c:pt idx="198">
                  <c:v>1519.7</c:v>
                </c:pt>
                <c:pt idx="199">
                  <c:v>1495.5</c:v>
                </c:pt>
                <c:pt idx="200">
                  <c:v>1501</c:v>
                </c:pt>
                <c:pt idx="201">
                  <c:v>1512.3</c:v>
                </c:pt>
                <c:pt idx="202">
                  <c:v>1518.5</c:v>
                </c:pt>
                <c:pt idx="203">
                  <c:v>1469.8</c:v>
                </c:pt>
                <c:pt idx="204">
                  <c:v>1475.4</c:v>
                </c:pt>
                <c:pt idx="205">
                  <c:v>1470.5</c:v>
                </c:pt>
                <c:pt idx="206">
                  <c:v>1478.1</c:v>
                </c:pt>
                <c:pt idx="207">
                  <c:v>1470.7</c:v>
                </c:pt>
                <c:pt idx="208">
                  <c:v>1486.9</c:v>
                </c:pt>
                <c:pt idx="209">
                  <c:v>1486.6</c:v>
                </c:pt>
                <c:pt idx="210">
                  <c:v>1524.1</c:v>
                </c:pt>
                <c:pt idx="211">
                  <c:v>1558.7</c:v>
                </c:pt>
                <c:pt idx="212">
                  <c:v>1566.4</c:v>
                </c:pt>
                <c:pt idx="213">
                  <c:v>1566.5</c:v>
                </c:pt>
                <c:pt idx="214">
                  <c:v>1578.2</c:v>
                </c:pt>
                <c:pt idx="215">
                  <c:v>1593.8</c:v>
                </c:pt>
                <c:pt idx="216">
                  <c:v>1579.2</c:v>
                </c:pt>
                <c:pt idx="217">
                  <c:v>1591.9</c:v>
                </c:pt>
                <c:pt idx="218">
                  <c:v>1654.6</c:v>
                </c:pt>
                <c:pt idx="219">
                  <c:v>1571.8</c:v>
                </c:pt>
                <c:pt idx="220">
                  <c:v>1676.1</c:v>
                </c:pt>
                <c:pt idx="221">
                  <c:v>1519.5</c:v>
                </c:pt>
                <c:pt idx="222">
                  <c:v>1488.1</c:v>
                </c:pt>
                <c:pt idx="223">
                  <c:v>1654.1</c:v>
                </c:pt>
                <c:pt idx="224">
                  <c:v>1645.5</c:v>
                </c:pt>
                <c:pt idx="225">
                  <c:v>1752.1</c:v>
                </c:pt>
                <c:pt idx="226">
                  <c:v>1700.1</c:v>
                </c:pt>
                <c:pt idx="227">
                  <c:v>1739.7</c:v>
                </c:pt>
                <c:pt idx="228">
                  <c:v>1707.2</c:v>
                </c:pt>
                <c:pt idx="229">
                  <c:v>1726.6</c:v>
                </c:pt>
                <c:pt idx="230">
                  <c:v>1768</c:v>
                </c:pt>
                <c:pt idx="231">
                  <c:v>1753.5</c:v>
                </c:pt>
                <c:pt idx="232">
                  <c:v>1760.7</c:v>
                </c:pt>
                <c:pt idx="233">
                  <c:v>1694.1</c:v>
                </c:pt>
                <c:pt idx="234">
                  <c:v>1746.2</c:v>
                </c:pt>
                <c:pt idx="235">
                  <c:v>1761</c:v>
                </c:pt>
                <c:pt idx="236">
                  <c:v>1789.8</c:v>
                </c:pt>
                <c:pt idx="237">
                  <c:v>1801</c:v>
                </c:pt>
                <c:pt idx="238">
                  <c:v>1801.9</c:v>
                </c:pt>
                <c:pt idx="239">
                  <c:v>1815.6</c:v>
                </c:pt>
                <c:pt idx="240">
                  <c:v>1820.9</c:v>
                </c:pt>
                <c:pt idx="241">
                  <c:v>1910.1</c:v>
                </c:pt>
                <c:pt idx="242">
                  <c:v>1985.9</c:v>
                </c:pt>
                <c:pt idx="243">
                  <c:v>2028</c:v>
                </c:pt>
                <c:pt idx="244">
                  <c:v>1949.8</c:v>
                </c:pt>
                <c:pt idx="245">
                  <c:v>1947</c:v>
                </c:pt>
                <c:pt idx="246">
                  <c:v>1974.9</c:v>
                </c:pt>
                <c:pt idx="247">
                  <c:v>1934.3</c:v>
                </c:pt>
                <c:pt idx="248">
                  <c:v>1947.9</c:v>
                </c:pt>
                <c:pt idx="249">
                  <c:v>1962.1</c:v>
                </c:pt>
                <c:pt idx="250">
                  <c:v>1866.3</c:v>
                </c:pt>
                <c:pt idx="251">
                  <c:v>1914.7</c:v>
                </c:pt>
                <c:pt idx="252">
                  <c:v>1933.6</c:v>
                </c:pt>
                <c:pt idx="253">
                  <c:v>1914</c:v>
                </c:pt>
                <c:pt idx="254">
                  <c:v>1912.7</c:v>
                </c:pt>
                <c:pt idx="255">
                  <c:v>1887.2</c:v>
                </c:pt>
                <c:pt idx="256">
                  <c:v>1959.1</c:v>
                </c:pt>
                <c:pt idx="257">
                  <c:v>1893</c:v>
                </c:pt>
                <c:pt idx="258">
                  <c:v>1878.2</c:v>
                </c:pt>
                <c:pt idx="259">
                  <c:v>1792.1</c:v>
                </c:pt>
                <c:pt idx="260">
                  <c:v>1844</c:v>
                </c:pt>
                <c:pt idx="261">
                  <c:v>1847.6</c:v>
                </c:pt>
                <c:pt idx="262">
                  <c:v>1893</c:v>
                </c:pt>
                <c:pt idx="263">
                  <c:v>1887.4</c:v>
                </c:pt>
                <c:pt idx="264">
                  <c:v>1899.6</c:v>
                </c:pt>
                <c:pt idx="265">
                  <c:v>1839.7</c:v>
                </c:pt>
                <c:pt idx="266">
                  <c:v>1833.7</c:v>
                </c:pt>
                <c:pt idx="267">
                  <c:v>1859.9</c:v>
                </c:pt>
                <c:pt idx="268">
                  <c:v>1852.7</c:v>
                </c:pt>
                <c:pt idx="269">
                  <c:v>1815.6</c:v>
                </c:pt>
                <c:pt idx="270">
                  <c:v>1826</c:v>
                </c:pt>
                <c:pt idx="271">
                  <c:v>1780.3</c:v>
                </c:pt>
                <c:pt idx="272">
                  <c:v>1731.6</c:v>
                </c:pt>
                <c:pt idx="273">
                  <c:v>1701.6</c:v>
                </c:pt>
                <c:pt idx="274">
                  <c:v>1722.4</c:v>
                </c:pt>
                <c:pt idx="275">
                  <c:v>1743.9</c:v>
                </c:pt>
                <c:pt idx="276">
                  <c:v>1734.7</c:v>
                </c:pt>
                <c:pt idx="277">
                  <c:v>1730.3</c:v>
                </c:pt>
                <c:pt idx="278">
                  <c:v>1746.8</c:v>
                </c:pt>
                <c:pt idx="279">
                  <c:v>1782.2</c:v>
                </c:pt>
                <c:pt idx="280">
                  <c:v>1779.9</c:v>
                </c:pt>
                <c:pt idx="281">
                  <c:v>1769.8</c:v>
                </c:pt>
                <c:pt idx="282">
                  <c:v>1833.5</c:v>
                </c:pt>
                <c:pt idx="283">
                  <c:v>1840</c:v>
                </c:pt>
                <c:pt idx="284">
                  <c:v>1878.9</c:v>
                </c:pt>
                <c:pt idx="285">
                  <c:v>1906.9</c:v>
                </c:pt>
                <c:pt idx="286">
                  <c:v>1893.8</c:v>
                </c:pt>
                <c:pt idx="287">
                  <c:v>1881.7</c:v>
                </c:pt>
                <c:pt idx="288">
                  <c:v>1770.9</c:v>
                </c:pt>
                <c:pt idx="289">
                  <c:v>1779.8</c:v>
                </c:pt>
                <c:pt idx="290">
                  <c:v>1785.2</c:v>
                </c:pt>
                <c:pt idx="291">
                  <c:v>1812.1</c:v>
                </c:pt>
                <c:pt idx="292">
                  <c:v>1816.7</c:v>
                </c:pt>
                <c:pt idx="293">
                  <c:v>1803.6</c:v>
                </c:pt>
                <c:pt idx="294">
                  <c:v>1817.2</c:v>
                </c:pt>
                <c:pt idx="295">
                  <c:v>1763.1</c:v>
                </c:pt>
                <c:pt idx="296">
                  <c:v>1778.2</c:v>
                </c:pt>
                <c:pt idx="297">
                  <c:v>1784</c:v>
                </c:pt>
                <c:pt idx="298">
                  <c:v>1819.5</c:v>
                </c:pt>
                <c:pt idx="299">
                  <c:v>1833.7</c:v>
                </c:pt>
                <c:pt idx="300">
                  <c:v>1792.1</c:v>
                </c:pt>
                <c:pt idx="301">
                  <c:v>1751.4</c:v>
                </c:pt>
                <c:pt idx="302">
                  <c:v>1751.7</c:v>
                </c:pt>
                <c:pt idx="303">
                  <c:v>1760.1</c:v>
                </c:pt>
                <c:pt idx="304">
                  <c:v>1759.4</c:v>
                </c:pt>
                <c:pt idx="305">
                  <c:v>1770.2</c:v>
                </c:pt>
                <c:pt idx="306">
                  <c:v>1798.3</c:v>
                </c:pt>
                <c:pt idx="307">
                  <c:v>1785.9</c:v>
                </c:pt>
                <c:pt idx="308">
                  <c:v>1819</c:v>
                </c:pt>
                <c:pt idx="309">
                  <c:v>1870.8</c:v>
                </c:pt>
                <c:pt idx="310">
                  <c:v>1854.3</c:v>
                </c:pt>
                <c:pt idx="311">
                  <c:v>1788.1</c:v>
                </c:pt>
                <c:pt idx="312">
                  <c:v>1785.8</c:v>
                </c:pt>
                <c:pt idx="313">
                  <c:v>1787</c:v>
                </c:pt>
                <c:pt idx="314">
                  <c:v>1807.3</c:v>
                </c:pt>
                <c:pt idx="315">
                  <c:v>1814</c:v>
                </c:pt>
                <c:pt idx="316">
                  <c:v>1831</c:v>
                </c:pt>
                <c:pt idx="317">
                  <c:v>1799.9</c:v>
                </c:pt>
                <c:pt idx="318">
                  <c:v>1819</c:v>
                </c:pt>
                <c:pt idx="319">
                  <c:v>1834.1</c:v>
                </c:pt>
                <c:pt idx="320">
                  <c:v>1789.3</c:v>
                </c:pt>
                <c:pt idx="321">
                  <c:v>1810.8</c:v>
                </c:pt>
                <c:pt idx="322">
                  <c:v>1845.5</c:v>
                </c:pt>
                <c:pt idx="323">
                  <c:v>1903.1</c:v>
                </c:pt>
                <c:pt idx="324">
                  <c:v>1890.8</c:v>
                </c:pt>
                <c:pt idx="325">
                  <c:v>1969.9</c:v>
                </c:pt>
                <c:pt idx="326">
                  <c:v>1989.4</c:v>
                </c:pt>
                <c:pt idx="327">
                  <c:v>1933.9</c:v>
                </c:pt>
                <c:pt idx="328">
                  <c:v>1959.8</c:v>
                </c:pt>
                <c:pt idx="329">
                  <c:v>1929.2</c:v>
                </c:pt>
                <c:pt idx="330">
                  <c:v>1952.2</c:v>
                </c:pt>
                <c:pt idx="331">
                  <c:v>1981.6</c:v>
                </c:pt>
                <c:pt idx="332">
                  <c:v>1941.4</c:v>
                </c:pt>
                <c:pt idx="333">
                  <c:v>1918.6</c:v>
                </c:pt>
                <c:pt idx="334">
                  <c:v>1890.2</c:v>
                </c:pt>
                <c:pt idx="335">
                  <c:v>1814.8</c:v>
                </c:pt>
                <c:pt idx="336">
                  <c:v>1848.4</c:v>
                </c:pt>
                <c:pt idx="337">
                  <c:v>1865</c:v>
                </c:pt>
                <c:pt idx="338">
                  <c:v>1858.3</c:v>
                </c:pt>
                <c:pt idx="339">
                  <c:v>1883.9</c:v>
                </c:pt>
                <c:pt idx="340">
                  <c:v>1849.6</c:v>
                </c:pt>
                <c:pt idx="341">
                  <c:v>1839.3</c:v>
                </c:pt>
                <c:pt idx="342">
                  <c:v>1810.4</c:v>
                </c:pt>
                <c:pt idx="343">
                  <c:v>1750.9</c:v>
                </c:pt>
                <c:pt idx="344">
                  <c:v>1711.6</c:v>
                </c:pt>
                <c:pt idx="345">
                  <c:v>1735</c:v>
                </c:pt>
                <c:pt idx="346">
                  <c:v>1781.8</c:v>
                </c:pt>
                <c:pt idx="347">
                  <c:v>1791.2</c:v>
                </c:pt>
                <c:pt idx="348">
                  <c:v>1815.5</c:v>
                </c:pt>
                <c:pt idx="349">
                  <c:v>1762.9</c:v>
                </c:pt>
                <c:pt idx="350">
                  <c:v>1749.8</c:v>
                </c:pt>
                <c:pt idx="351">
                  <c:v>1722.6</c:v>
                </c:pt>
                <c:pt idx="352">
                  <c:v>1728.6</c:v>
                </c:pt>
                <c:pt idx="353">
                  <c:v>1683.5</c:v>
                </c:pt>
                <c:pt idx="354">
                  <c:v>1655.6</c:v>
                </c:pt>
                <c:pt idx="355">
                  <c:v>1684.9</c:v>
                </c:pt>
                <c:pt idx="356">
                  <c:v>1722.8</c:v>
                </c:pt>
                <c:pt idx="357">
                  <c:v>1662.8</c:v>
                </c:pt>
                <c:pt idx="358">
                  <c:v>1670.2</c:v>
                </c:pt>
                <c:pt idx="359">
                  <c:v>1659.1</c:v>
                </c:pt>
                <c:pt idx="360">
                  <c:v>1690.6</c:v>
                </c:pt>
                <c:pt idx="361">
                  <c:v>1783.5</c:v>
                </c:pt>
                <c:pt idx="362">
                  <c:v>1769</c:v>
                </c:pt>
                <c:pt idx="363">
                  <c:v>1768.8</c:v>
                </c:pt>
                <c:pt idx="364">
                  <c:v>1824.7</c:v>
                </c:pt>
                <c:pt idx="365">
                  <c:v>1825.9</c:v>
                </c:pt>
                <c:pt idx="366">
                  <c:v>1815.6</c:v>
                </c:pt>
                <c:pt idx="367">
                  <c:v>1819.8</c:v>
                </c:pt>
                <c:pt idx="368">
                  <c:v>1842.2</c:v>
                </c:pt>
                <c:pt idx="369">
                  <c:v>1826.2</c:v>
                </c:pt>
                <c:pt idx="370">
                  <c:v>1885.9</c:v>
                </c:pt>
                <c:pt idx="371">
                  <c:v>1869.7</c:v>
                </c:pt>
                <c:pt idx="372">
                  <c:v>1938.5</c:v>
                </c:pt>
                <c:pt idx="373">
                  <c:v>1944.9</c:v>
                </c:pt>
                <c:pt idx="374">
                  <c:v>1945.6</c:v>
                </c:pt>
                <c:pt idx="375">
                  <c:v>1893.3</c:v>
                </c:pt>
                <c:pt idx="376">
                  <c:v>1891.2</c:v>
                </c:pt>
                <c:pt idx="377">
                  <c:v>1866.9</c:v>
                </c:pt>
                <c:pt idx="378">
                  <c:v>1833.9</c:v>
                </c:pt>
                <c:pt idx="379">
                  <c:v>1871.4</c:v>
                </c:pt>
                <c:pt idx="380">
                  <c:v>1884</c:v>
                </c:pt>
                <c:pt idx="381">
                  <c:v>1990.2</c:v>
                </c:pt>
                <c:pt idx="382">
                  <c:v>2001.7</c:v>
                </c:pt>
                <c:pt idx="383">
                  <c:v>2004.1</c:v>
                </c:pt>
                <c:pt idx="384">
                  <c:v>2044.4</c:v>
                </c:pt>
                <c:pt idx="385">
                  <c:v>2034.4</c:v>
                </c:pt>
                <c:pt idx="386">
                  <c:v>2009.2</c:v>
                </c:pt>
                <c:pt idx="387">
                  <c:v>2018.3</c:v>
                </c:pt>
                <c:pt idx="388">
                  <c:v>2044.2</c:v>
                </c:pt>
                <c:pt idx="389">
                  <c:v>2039.1</c:v>
                </c:pt>
                <c:pt idx="390">
                  <c:v>2000.3</c:v>
                </c:pt>
                <c:pt idx="391">
                  <c:v>1963.1</c:v>
                </c:pt>
                <c:pt idx="392">
                  <c:v>1989.1</c:v>
                </c:pt>
                <c:pt idx="393">
                  <c:v>1996.8</c:v>
                </c:pt>
                <c:pt idx="394">
                  <c:v>1990.7</c:v>
                </c:pt>
                <c:pt idx="395">
                  <c:v>1948.9</c:v>
                </c:pt>
                <c:pt idx="396">
                  <c:v>1948.5</c:v>
                </c:pt>
                <c:pt idx="397">
                  <c:v>1951.6</c:v>
                </c:pt>
                <c:pt idx="398">
                  <c:v>1983.4</c:v>
                </c:pt>
                <c:pt idx="399">
                  <c:v>1985.8</c:v>
                </c:pt>
                <c:pt idx="400">
                  <c:v>1999.9</c:v>
                </c:pt>
                <c:pt idx="401">
                  <c:v>1976.1</c:v>
                </c:pt>
                <c:pt idx="402">
                  <c:v>1946.6</c:v>
                </c:pt>
                <c:pt idx="403">
                  <c:v>1916.5</c:v>
                </c:pt>
                <c:pt idx="404">
                  <c:v>1939.9</c:v>
                </c:pt>
                <c:pt idx="405">
                  <c:v>1967.1</c:v>
                </c:pt>
                <c:pt idx="406">
                  <c:v>1942.7</c:v>
                </c:pt>
                <c:pt idx="407">
                  <c:v>1946.2</c:v>
                </c:pt>
                <c:pt idx="408">
                  <c:v>1945.6</c:v>
                </c:pt>
                <c:pt idx="409">
                  <c:v>1885.4</c:v>
                </c:pt>
                <c:pt idx="410">
                  <c:v>1864.4</c:v>
                </c:pt>
                <c:pt idx="411">
                  <c:v>1961.1</c:v>
                </c:pt>
                <c:pt idx="412">
                  <c:v>2014.5</c:v>
                </c:pt>
                <c:pt idx="413">
                  <c:v>2018.7</c:v>
                </c:pt>
                <c:pt idx="414">
                  <c:v>2019.6</c:v>
                </c:pt>
                <c:pt idx="415">
                  <c:v>1957.7</c:v>
                </c:pt>
                <c:pt idx="416">
                  <c:v>2004.8</c:v>
                </c:pt>
                <c:pt idx="417">
                  <c:v>2023.5</c:v>
                </c:pt>
                <c:pt idx="418">
                  <c:v>2109.1999999999998</c:v>
                </c:pt>
                <c:pt idx="419">
                  <c:v>2033.9</c:v>
                </c:pt>
                <c:pt idx="420">
                  <c:v>2055.1999999999998</c:v>
                </c:pt>
                <c:pt idx="421">
                  <c:v>2088.8000000000002</c:v>
                </c:pt>
                <c:pt idx="422">
                  <c:v>2091.8000000000002</c:v>
                </c:pt>
                <c:pt idx="423">
                  <c:v>2071.8000000000002</c:v>
                </c:pt>
                <c:pt idx="424">
                  <c:v>2049.8000000000002</c:v>
                </c:pt>
                <c:pt idx="425">
                  <c:v>2069.6999999999998</c:v>
                </c:pt>
                <c:pt idx="426">
                  <c:v>2071.4</c:v>
                </c:pt>
                <c:pt idx="427">
                  <c:v>2048.6</c:v>
                </c:pt>
                <c:pt idx="428">
                  <c:v>2036.1</c:v>
                </c:pt>
                <c:pt idx="429">
                  <c:v>2073.4</c:v>
                </c:pt>
                <c:pt idx="430">
                  <c:v>2058.6</c:v>
                </c:pt>
                <c:pt idx="431">
                  <c:v>2043.9</c:v>
                </c:pt>
                <c:pt idx="432">
                  <c:v>2069.3000000000002</c:v>
                </c:pt>
                <c:pt idx="433">
                  <c:v>2116</c:v>
                </c:pt>
                <c:pt idx="434">
                  <c:v>2206.3000000000002</c:v>
                </c:pt>
                <c:pt idx="435">
                  <c:v>2183.1</c:v>
                </c:pt>
                <c:pt idx="436">
                  <c:v>2181.6</c:v>
                </c:pt>
                <c:pt idx="437">
                  <c:v>2258.4</c:v>
                </c:pt>
                <c:pt idx="438">
                  <c:v>2366.6</c:v>
                </c:pt>
                <c:pt idx="439">
                  <c:v>2396.3000000000002</c:v>
                </c:pt>
                <c:pt idx="440">
                  <c:v>2436.1</c:v>
                </c:pt>
                <c:pt idx="441">
                  <c:v>2369.3000000000002</c:v>
                </c:pt>
                <c:pt idx="442">
                  <c:v>2330.6</c:v>
                </c:pt>
                <c:pt idx="443">
                  <c:v>2397.6999999999998</c:v>
                </c:pt>
                <c:pt idx="444">
                  <c:v>2440.4</c:v>
                </c:pt>
                <c:pt idx="445">
                  <c:v>2356.9</c:v>
                </c:pt>
                <c:pt idx="446">
                  <c:v>2368.5</c:v>
                </c:pt>
                <c:pt idx="447">
                  <c:v>2347.6</c:v>
                </c:pt>
                <c:pt idx="448">
                  <c:v>2371.9</c:v>
                </c:pt>
                <c:pt idx="449">
                  <c:v>2353.9</c:v>
                </c:pt>
                <c:pt idx="450">
                  <c:v>2362.5</c:v>
                </c:pt>
                <c:pt idx="451">
                  <c:v>2421.1</c:v>
                </c:pt>
                <c:pt idx="452">
                  <c:v>2444.5</c:v>
                </c:pt>
                <c:pt idx="453">
                  <c:v>2423</c:v>
                </c:pt>
                <c:pt idx="454">
                  <c:v>2404.5</c:v>
                </c:pt>
                <c:pt idx="455">
                  <c:v>2469.8000000000002</c:v>
                </c:pt>
                <c:pt idx="456">
                  <c:v>2473.4</c:v>
                </c:pt>
                <c:pt idx="457">
                  <c:v>2537.8000000000002</c:v>
                </c:pt>
                <c:pt idx="458">
                  <c:v>2546.3000000000002</c:v>
                </c:pt>
                <c:pt idx="459">
                  <c:v>2527.6</c:v>
                </c:pt>
                <c:pt idx="460">
                  <c:v>2513.1999999999998</c:v>
                </c:pt>
                <c:pt idx="461">
                  <c:v>2599.1</c:v>
                </c:pt>
                <c:pt idx="462">
                  <c:v>2634.6</c:v>
                </c:pt>
                <c:pt idx="463">
                  <c:v>2668.1</c:v>
                </c:pt>
                <c:pt idx="464">
                  <c:v>2667.8</c:v>
                </c:pt>
                <c:pt idx="465">
                  <c:v>2676.3</c:v>
                </c:pt>
                <c:pt idx="466">
                  <c:v>2730</c:v>
                </c:pt>
                <c:pt idx="467">
                  <c:v>2742.2</c:v>
                </c:pt>
                <c:pt idx="468">
                  <c:v>2749.2</c:v>
                </c:pt>
                <c:pt idx="469">
                  <c:v>2707.2</c:v>
                </c:pt>
                <c:pt idx="470">
                  <c:v>2582.1</c:v>
                </c:pt>
                <c:pt idx="471">
                  <c:v>2724.9</c:v>
                </c:pt>
                <c:pt idx="472">
                  <c:v>2681</c:v>
                </c:pt>
                <c:pt idx="473">
                  <c:v>2659.6</c:v>
                </c:pt>
                <c:pt idx="474">
                  <c:v>2662.4</c:v>
                </c:pt>
                <c:pt idx="475">
                  <c:v>2632.5</c:v>
                </c:pt>
                <c:pt idx="476">
                  <c:v>2618.4</c:v>
                </c:pt>
                <c:pt idx="477">
                  <c:v>2654.7</c:v>
                </c:pt>
                <c:pt idx="478">
                  <c:v>2729.5</c:v>
                </c:pt>
                <c:pt idx="479">
                  <c:v>2761.6</c:v>
                </c:pt>
                <c:pt idx="480">
                  <c:v>2792.7</c:v>
                </c:pt>
                <c:pt idx="481">
                  <c:v>2835</c:v>
                </c:pt>
                <c:pt idx="482">
                  <c:v>2887.6</c:v>
                </c:pt>
                <c:pt idx="483">
                  <c:v>2888.9</c:v>
                </c:pt>
                <c:pt idx="484">
                  <c:v>2940.5</c:v>
                </c:pt>
                <c:pt idx="485">
                  <c:v>2848.5</c:v>
                </c:pt>
                <c:pt idx="486">
                  <c:v>2942.9</c:v>
                </c:pt>
                <c:pt idx="487">
                  <c:v>3014.6</c:v>
                </c:pt>
                <c:pt idx="488">
                  <c:v>3034.5</c:v>
                </c:pt>
                <c:pt idx="489">
                  <c:v>3114.3</c:v>
                </c:pt>
                <c:pt idx="490">
                  <c:v>3035.4</c:v>
                </c:pt>
                <c:pt idx="491">
                  <c:v>3230</c:v>
                </c:pt>
                <c:pt idx="492">
                  <c:v>3313.3</c:v>
                </c:pt>
                <c:pt idx="493">
                  <c:v>3283.5</c:v>
                </c:pt>
                <c:pt idx="494">
                  <c:v>3271.7</c:v>
                </c:pt>
                <c:pt idx="495">
                  <c:v>3357.3</c:v>
                </c:pt>
                <c:pt idx="496">
                  <c:v>3200.2</c:v>
                </c:pt>
                <c:pt idx="497">
                  <c:v>3379.3</c:v>
                </c:pt>
                <c:pt idx="498">
                  <c:v>3315.4</c:v>
                </c:pt>
                <c:pt idx="499">
                  <c:v>3332.1</c:v>
                </c:pt>
                <c:pt idx="500">
                  <c:v>3438.1</c:v>
                </c:pt>
                <c:pt idx="501">
                  <c:v>3371.4</c:v>
                </c:pt>
                <c:pt idx="502">
                  <c:v>3287.6</c:v>
                </c:pt>
                <c:pt idx="503">
                  <c:v>3398.8</c:v>
                </c:pt>
                <c:pt idx="504">
                  <c:v>3406.5</c:v>
                </c:pt>
                <c:pt idx="505">
                  <c:v>3400.9</c:v>
                </c:pt>
                <c:pt idx="506">
                  <c:v>3379.6</c:v>
                </c:pt>
                <c:pt idx="507">
                  <c:v>3399.8</c:v>
                </c:pt>
                <c:pt idx="508">
                  <c:v>3491.3</c:v>
                </c:pt>
                <c:pt idx="509">
                  <c:v>3369.9</c:v>
                </c:pt>
                <c:pt idx="510">
                  <c:v>3405.8</c:v>
                </c:pt>
                <c:pt idx="511">
                  <c:v>3516.1</c:v>
                </c:pt>
              </c:numCache>
            </c:numRef>
          </c:yVal>
          <c:smooth val="0"/>
          <c:extLst>
            <c:ext xmlns:c16="http://schemas.microsoft.com/office/drawing/2014/chart" uri="{C3380CC4-5D6E-409C-BE32-E72D297353CC}">
              <c16:uniqueId val="{00000000-E6A6-419A-BFF2-6EFAA51809B3}"/>
            </c:ext>
          </c:extLst>
        </c:ser>
        <c:dLbls>
          <c:showLegendKey val="0"/>
          <c:showVal val="0"/>
          <c:showCatName val="0"/>
          <c:showSerName val="0"/>
          <c:showPercent val="0"/>
          <c:showBubbleSize val="0"/>
        </c:dLbls>
        <c:axId val="39656400"/>
        <c:axId val="39661680"/>
      </c:scatterChart>
      <c:valAx>
        <c:axId val="396564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9661680"/>
        <c:crosses val="autoZero"/>
        <c:crossBetween val="midCat"/>
      </c:valAx>
      <c:valAx>
        <c:axId val="396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9656400"/>
        <c:crosses val="autoZero"/>
        <c:crossBetween val="midCat"/>
      </c:valAx>
      <c:spPr>
        <a:noFill/>
        <a:ln>
          <a:noFill/>
        </a:ln>
        <a:effectLst/>
      </c:spPr>
    </c:plotArea>
    <c:legend>
      <c:legendPos val="r"/>
      <c:legendEntry>
        <c:idx val="1"/>
        <c:delete val="1"/>
      </c:legendEntry>
      <c:layout>
        <c:manualLayout>
          <c:xMode val="edge"/>
          <c:yMode val="edge"/>
          <c:x val="0.68643000874890636"/>
          <c:y val="0.73226778944298632"/>
          <c:w val="0.2607922134733158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Γραφική Παράσταση</a:t>
            </a:r>
            <a:r>
              <a:rPr lang="el-GR" baseline="0"/>
              <a:t> </a:t>
            </a:r>
            <a:r>
              <a:rPr lang="el-GR"/>
              <a:t>Συνάρτησςη Κυκλικότητας</a:t>
            </a:r>
            <a:r>
              <a:rPr lang="el-GR" baseline="0"/>
              <a:t> - Ερώτημα 4</a:t>
            </a:r>
            <a:endParaRPr lang="en-US"/>
          </a:p>
        </c:rich>
      </c:tx>
      <c:layout>
        <c:manualLayout>
          <c:xMode val="edge"/>
          <c:yMode val="edge"/>
          <c:x val="1.7701623341107833E-2"/>
          <c:y val="1.5137546060751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manualLayout>
          <c:layoutTarget val="inner"/>
          <c:xMode val="edge"/>
          <c:yMode val="edge"/>
          <c:x val="1.0411085757645702E-2"/>
          <c:y val="1.4051298004843617E-2"/>
          <c:w val="0.98424120725342201"/>
          <c:h val="0.83592213265375881"/>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'Gold Futures Historical Data'!$D$2:$D$513</c:f>
              <c:numCache>
                <c:formatCode>General</c:formatCode>
                <c:ptCount val="512"/>
                <c:pt idx="0">
                  <c:v>1.953125E-3</c:v>
                </c:pt>
                <c:pt idx="1">
                  <c:v>3.90625E-3</c:v>
                </c:pt>
                <c:pt idx="2">
                  <c:v>5.859375E-3</c:v>
                </c:pt>
                <c:pt idx="3">
                  <c:v>7.8125E-3</c:v>
                </c:pt>
                <c:pt idx="4">
                  <c:v>9.765625E-3</c:v>
                </c:pt>
                <c:pt idx="5">
                  <c:v>1.171875E-2</c:v>
                </c:pt>
                <c:pt idx="6">
                  <c:v>1.3671875E-2</c:v>
                </c:pt>
                <c:pt idx="7">
                  <c:v>1.5625E-2</c:v>
                </c:pt>
                <c:pt idx="8">
                  <c:v>1.7578125E-2</c:v>
                </c:pt>
                <c:pt idx="9">
                  <c:v>1.953125E-2</c:v>
                </c:pt>
                <c:pt idx="10">
                  <c:v>2.1484375E-2</c:v>
                </c:pt>
                <c:pt idx="11">
                  <c:v>2.34375E-2</c:v>
                </c:pt>
                <c:pt idx="12">
                  <c:v>2.5390625E-2</c:v>
                </c:pt>
                <c:pt idx="13">
                  <c:v>2.734375E-2</c:v>
                </c:pt>
                <c:pt idx="14">
                  <c:v>2.9296875E-2</c:v>
                </c:pt>
                <c:pt idx="15">
                  <c:v>3.125E-2</c:v>
                </c:pt>
                <c:pt idx="16">
                  <c:v>3.3203125E-2</c:v>
                </c:pt>
                <c:pt idx="17">
                  <c:v>3.515625E-2</c:v>
                </c:pt>
                <c:pt idx="18">
                  <c:v>3.7109375E-2</c:v>
                </c:pt>
                <c:pt idx="19">
                  <c:v>3.90625E-2</c:v>
                </c:pt>
                <c:pt idx="20">
                  <c:v>4.1015625E-2</c:v>
                </c:pt>
                <c:pt idx="21">
                  <c:v>4.296875E-2</c:v>
                </c:pt>
                <c:pt idx="22">
                  <c:v>4.4921875E-2</c:v>
                </c:pt>
                <c:pt idx="23">
                  <c:v>4.6875E-2</c:v>
                </c:pt>
                <c:pt idx="24">
                  <c:v>4.8828125E-2</c:v>
                </c:pt>
                <c:pt idx="25">
                  <c:v>5.078125E-2</c:v>
                </c:pt>
                <c:pt idx="26">
                  <c:v>5.2734375E-2</c:v>
                </c:pt>
                <c:pt idx="27">
                  <c:v>5.46875E-2</c:v>
                </c:pt>
                <c:pt idx="28">
                  <c:v>5.6640625E-2</c:v>
                </c:pt>
                <c:pt idx="29">
                  <c:v>5.859375E-2</c:v>
                </c:pt>
                <c:pt idx="30">
                  <c:v>6.0546875E-2</c:v>
                </c:pt>
                <c:pt idx="31">
                  <c:v>6.25E-2</c:v>
                </c:pt>
                <c:pt idx="32">
                  <c:v>6.4453125E-2</c:v>
                </c:pt>
                <c:pt idx="33">
                  <c:v>6.640625E-2</c:v>
                </c:pt>
                <c:pt idx="34">
                  <c:v>6.8359375E-2</c:v>
                </c:pt>
                <c:pt idx="35">
                  <c:v>7.03125E-2</c:v>
                </c:pt>
                <c:pt idx="36">
                  <c:v>7.2265625E-2</c:v>
                </c:pt>
                <c:pt idx="37">
                  <c:v>7.421875E-2</c:v>
                </c:pt>
                <c:pt idx="38">
                  <c:v>7.6171875E-2</c:v>
                </c:pt>
                <c:pt idx="39">
                  <c:v>7.8125E-2</c:v>
                </c:pt>
                <c:pt idx="40">
                  <c:v>8.0078125E-2</c:v>
                </c:pt>
                <c:pt idx="41">
                  <c:v>8.203125E-2</c:v>
                </c:pt>
                <c:pt idx="42">
                  <c:v>8.3984375E-2</c:v>
                </c:pt>
                <c:pt idx="43">
                  <c:v>8.59375E-2</c:v>
                </c:pt>
                <c:pt idx="44">
                  <c:v>8.7890625E-2</c:v>
                </c:pt>
                <c:pt idx="45">
                  <c:v>8.984375E-2</c:v>
                </c:pt>
                <c:pt idx="46">
                  <c:v>9.1796875E-2</c:v>
                </c:pt>
                <c:pt idx="47">
                  <c:v>9.375E-2</c:v>
                </c:pt>
                <c:pt idx="48">
                  <c:v>9.5703125E-2</c:v>
                </c:pt>
                <c:pt idx="49">
                  <c:v>9.765625E-2</c:v>
                </c:pt>
                <c:pt idx="50">
                  <c:v>9.9609375E-2</c:v>
                </c:pt>
                <c:pt idx="51">
                  <c:v>0.1015625</c:v>
                </c:pt>
                <c:pt idx="52">
                  <c:v>0.103515625</c:v>
                </c:pt>
                <c:pt idx="53">
                  <c:v>0.10546875</c:v>
                </c:pt>
                <c:pt idx="54">
                  <c:v>0.107421875</c:v>
                </c:pt>
                <c:pt idx="55">
                  <c:v>0.109375</c:v>
                </c:pt>
                <c:pt idx="56">
                  <c:v>0.111328125</c:v>
                </c:pt>
                <c:pt idx="57">
                  <c:v>0.11328125</c:v>
                </c:pt>
                <c:pt idx="58">
                  <c:v>0.115234375</c:v>
                </c:pt>
                <c:pt idx="59">
                  <c:v>0.1171875</c:v>
                </c:pt>
                <c:pt idx="60">
                  <c:v>0.119140625</c:v>
                </c:pt>
                <c:pt idx="61">
                  <c:v>0.12109375</c:v>
                </c:pt>
                <c:pt idx="62">
                  <c:v>0.123046875</c:v>
                </c:pt>
                <c:pt idx="63">
                  <c:v>0.125</c:v>
                </c:pt>
                <c:pt idx="64">
                  <c:v>0.126953125</c:v>
                </c:pt>
                <c:pt idx="65">
                  <c:v>0.12890625</c:v>
                </c:pt>
                <c:pt idx="66">
                  <c:v>0.130859375</c:v>
                </c:pt>
                <c:pt idx="67">
                  <c:v>0.1328125</c:v>
                </c:pt>
                <c:pt idx="68">
                  <c:v>0.134765625</c:v>
                </c:pt>
                <c:pt idx="69">
                  <c:v>0.13671875</c:v>
                </c:pt>
                <c:pt idx="70">
                  <c:v>0.138671875</c:v>
                </c:pt>
                <c:pt idx="71">
                  <c:v>0.140625</c:v>
                </c:pt>
                <c:pt idx="72">
                  <c:v>0.142578125</c:v>
                </c:pt>
                <c:pt idx="73">
                  <c:v>0.14453125</c:v>
                </c:pt>
                <c:pt idx="74">
                  <c:v>0.146484375</c:v>
                </c:pt>
                <c:pt idx="75">
                  <c:v>0.1484375</c:v>
                </c:pt>
                <c:pt idx="76">
                  <c:v>0.150390625</c:v>
                </c:pt>
                <c:pt idx="77">
                  <c:v>0.15234375</c:v>
                </c:pt>
                <c:pt idx="78">
                  <c:v>0.154296875</c:v>
                </c:pt>
                <c:pt idx="79">
                  <c:v>0.15625</c:v>
                </c:pt>
                <c:pt idx="80">
                  <c:v>0.158203125</c:v>
                </c:pt>
                <c:pt idx="81">
                  <c:v>0.16015625</c:v>
                </c:pt>
                <c:pt idx="82">
                  <c:v>0.162109375</c:v>
                </c:pt>
                <c:pt idx="83">
                  <c:v>0.1640625</c:v>
                </c:pt>
                <c:pt idx="84">
                  <c:v>0.166015625</c:v>
                </c:pt>
                <c:pt idx="85">
                  <c:v>0.16796875</c:v>
                </c:pt>
                <c:pt idx="86">
                  <c:v>0.169921875</c:v>
                </c:pt>
                <c:pt idx="87">
                  <c:v>0.171875</c:v>
                </c:pt>
                <c:pt idx="88">
                  <c:v>0.173828125</c:v>
                </c:pt>
                <c:pt idx="89">
                  <c:v>0.17578125</c:v>
                </c:pt>
                <c:pt idx="90">
                  <c:v>0.177734375</c:v>
                </c:pt>
                <c:pt idx="91">
                  <c:v>0.1796875</c:v>
                </c:pt>
                <c:pt idx="92">
                  <c:v>0.181640625</c:v>
                </c:pt>
                <c:pt idx="93">
                  <c:v>0.18359375</c:v>
                </c:pt>
                <c:pt idx="94">
                  <c:v>0.185546875</c:v>
                </c:pt>
                <c:pt idx="95">
                  <c:v>0.1875</c:v>
                </c:pt>
                <c:pt idx="96">
                  <c:v>0.189453125</c:v>
                </c:pt>
                <c:pt idx="97">
                  <c:v>0.19140625</c:v>
                </c:pt>
                <c:pt idx="98">
                  <c:v>0.193359375</c:v>
                </c:pt>
                <c:pt idx="99">
                  <c:v>0.1953125</c:v>
                </c:pt>
                <c:pt idx="100">
                  <c:v>0.197265625</c:v>
                </c:pt>
                <c:pt idx="101">
                  <c:v>0.19921875</c:v>
                </c:pt>
                <c:pt idx="102">
                  <c:v>0.201171875</c:v>
                </c:pt>
                <c:pt idx="103">
                  <c:v>0.203125</c:v>
                </c:pt>
                <c:pt idx="104">
                  <c:v>0.205078125</c:v>
                </c:pt>
                <c:pt idx="105">
                  <c:v>0.20703125</c:v>
                </c:pt>
                <c:pt idx="106">
                  <c:v>0.208984375</c:v>
                </c:pt>
                <c:pt idx="107">
                  <c:v>0.2109375</c:v>
                </c:pt>
                <c:pt idx="108">
                  <c:v>0.212890625</c:v>
                </c:pt>
                <c:pt idx="109">
                  <c:v>0.21484375</c:v>
                </c:pt>
                <c:pt idx="110">
                  <c:v>0.216796875</c:v>
                </c:pt>
                <c:pt idx="111">
                  <c:v>0.21875</c:v>
                </c:pt>
                <c:pt idx="112">
                  <c:v>0.220703125</c:v>
                </c:pt>
                <c:pt idx="113">
                  <c:v>0.22265625</c:v>
                </c:pt>
                <c:pt idx="114">
                  <c:v>0.224609375</c:v>
                </c:pt>
                <c:pt idx="115">
                  <c:v>0.2265625</c:v>
                </c:pt>
                <c:pt idx="116">
                  <c:v>0.228515625</c:v>
                </c:pt>
                <c:pt idx="117">
                  <c:v>0.23046875</c:v>
                </c:pt>
                <c:pt idx="118">
                  <c:v>0.232421875</c:v>
                </c:pt>
                <c:pt idx="119">
                  <c:v>0.234375</c:v>
                </c:pt>
                <c:pt idx="120">
                  <c:v>0.236328125</c:v>
                </c:pt>
                <c:pt idx="121">
                  <c:v>0.23828125</c:v>
                </c:pt>
                <c:pt idx="122">
                  <c:v>0.240234375</c:v>
                </c:pt>
                <c:pt idx="123">
                  <c:v>0.2421875</c:v>
                </c:pt>
                <c:pt idx="124">
                  <c:v>0.244140625</c:v>
                </c:pt>
                <c:pt idx="125">
                  <c:v>0.24609375</c:v>
                </c:pt>
                <c:pt idx="126">
                  <c:v>0.248046875</c:v>
                </c:pt>
                <c:pt idx="127">
                  <c:v>0.25</c:v>
                </c:pt>
                <c:pt idx="128">
                  <c:v>0.251953125</c:v>
                </c:pt>
                <c:pt idx="129">
                  <c:v>0.25390625</c:v>
                </c:pt>
                <c:pt idx="130">
                  <c:v>0.255859375</c:v>
                </c:pt>
                <c:pt idx="131">
                  <c:v>0.2578125</c:v>
                </c:pt>
                <c:pt idx="132">
                  <c:v>0.259765625</c:v>
                </c:pt>
                <c:pt idx="133">
                  <c:v>0.26171875</c:v>
                </c:pt>
                <c:pt idx="134">
                  <c:v>0.263671875</c:v>
                </c:pt>
                <c:pt idx="135">
                  <c:v>0.265625</c:v>
                </c:pt>
                <c:pt idx="136">
                  <c:v>0.267578125</c:v>
                </c:pt>
                <c:pt idx="137">
                  <c:v>0.26953125</c:v>
                </c:pt>
                <c:pt idx="138">
                  <c:v>0.271484375</c:v>
                </c:pt>
                <c:pt idx="139">
                  <c:v>0.2734375</c:v>
                </c:pt>
                <c:pt idx="140">
                  <c:v>0.275390625</c:v>
                </c:pt>
                <c:pt idx="141">
                  <c:v>0.27734375</c:v>
                </c:pt>
                <c:pt idx="142">
                  <c:v>0.279296875</c:v>
                </c:pt>
                <c:pt idx="143">
                  <c:v>0.28125</c:v>
                </c:pt>
                <c:pt idx="144">
                  <c:v>0.283203125</c:v>
                </c:pt>
                <c:pt idx="145">
                  <c:v>0.28515625</c:v>
                </c:pt>
                <c:pt idx="146">
                  <c:v>0.287109375</c:v>
                </c:pt>
                <c:pt idx="147">
                  <c:v>0.2890625</c:v>
                </c:pt>
                <c:pt idx="148">
                  <c:v>0.291015625</c:v>
                </c:pt>
                <c:pt idx="149">
                  <c:v>0.29296875</c:v>
                </c:pt>
                <c:pt idx="150">
                  <c:v>0.294921875</c:v>
                </c:pt>
                <c:pt idx="151">
                  <c:v>0.296875</c:v>
                </c:pt>
                <c:pt idx="152">
                  <c:v>0.298828125</c:v>
                </c:pt>
                <c:pt idx="153">
                  <c:v>0.30078125</c:v>
                </c:pt>
                <c:pt idx="154">
                  <c:v>0.302734375</c:v>
                </c:pt>
                <c:pt idx="155">
                  <c:v>0.3046875</c:v>
                </c:pt>
                <c:pt idx="156">
                  <c:v>0.306640625</c:v>
                </c:pt>
                <c:pt idx="157">
                  <c:v>0.30859375</c:v>
                </c:pt>
                <c:pt idx="158">
                  <c:v>0.310546875</c:v>
                </c:pt>
                <c:pt idx="159">
                  <c:v>0.3125</c:v>
                </c:pt>
                <c:pt idx="160">
                  <c:v>0.314453125</c:v>
                </c:pt>
                <c:pt idx="161">
                  <c:v>0.31640625</c:v>
                </c:pt>
                <c:pt idx="162">
                  <c:v>0.318359375</c:v>
                </c:pt>
                <c:pt idx="163">
                  <c:v>0.3203125</c:v>
                </c:pt>
                <c:pt idx="164">
                  <c:v>0.322265625</c:v>
                </c:pt>
                <c:pt idx="165">
                  <c:v>0.32421875</c:v>
                </c:pt>
                <c:pt idx="166">
                  <c:v>0.326171875</c:v>
                </c:pt>
                <c:pt idx="167">
                  <c:v>0.328125</c:v>
                </c:pt>
                <c:pt idx="168">
                  <c:v>0.330078125</c:v>
                </c:pt>
                <c:pt idx="169">
                  <c:v>0.33203125</c:v>
                </c:pt>
                <c:pt idx="170">
                  <c:v>0.333984375</c:v>
                </c:pt>
                <c:pt idx="171">
                  <c:v>0.3359375</c:v>
                </c:pt>
                <c:pt idx="172">
                  <c:v>0.337890625</c:v>
                </c:pt>
                <c:pt idx="173">
                  <c:v>0.33984375</c:v>
                </c:pt>
                <c:pt idx="174">
                  <c:v>0.341796875</c:v>
                </c:pt>
                <c:pt idx="175">
                  <c:v>0.34375</c:v>
                </c:pt>
                <c:pt idx="176">
                  <c:v>0.345703125</c:v>
                </c:pt>
                <c:pt idx="177">
                  <c:v>0.34765625</c:v>
                </c:pt>
                <c:pt idx="178">
                  <c:v>0.349609375</c:v>
                </c:pt>
                <c:pt idx="179">
                  <c:v>0.3515625</c:v>
                </c:pt>
                <c:pt idx="180">
                  <c:v>0.353515625</c:v>
                </c:pt>
                <c:pt idx="181">
                  <c:v>0.35546875</c:v>
                </c:pt>
                <c:pt idx="182">
                  <c:v>0.357421875</c:v>
                </c:pt>
                <c:pt idx="183">
                  <c:v>0.359375</c:v>
                </c:pt>
                <c:pt idx="184">
                  <c:v>0.361328125</c:v>
                </c:pt>
                <c:pt idx="185">
                  <c:v>0.36328125</c:v>
                </c:pt>
                <c:pt idx="186">
                  <c:v>0.365234375</c:v>
                </c:pt>
                <c:pt idx="187">
                  <c:v>0.3671875</c:v>
                </c:pt>
                <c:pt idx="188">
                  <c:v>0.369140625</c:v>
                </c:pt>
                <c:pt idx="189">
                  <c:v>0.37109375</c:v>
                </c:pt>
                <c:pt idx="190">
                  <c:v>0.373046875</c:v>
                </c:pt>
                <c:pt idx="191">
                  <c:v>0.375</c:v>
                </c:pt>
                <c:pt idx="192">
                  <c:v>0.376953125</c:v>
                </c:pt>
                <c:pt idx="193">
                  <c:v>0.37890625</c:v>
                </c:pt>
                <c:pt idx="194">
                  <c:v>0.380859375</c:v>
                </c:pt>
                <c:pt idx="195">
                  <c:v>0.3828125</c:v>
                </c:pt>
                <c:pt idx="196">
                  <c:v>0.384765625</c:v>
                </c:pt>
                <c:pt idx="197">
                  <c:v>0.38671875</c:v>
                </c:pt>
                <c:pt idx="198">
                  <c:v>0.388671875</c:v>
                </c:pt>
                <c:pt idx="199">
                  <c:v>0.390625</c:v>
                </c:pt>
                <c:pt idx="200">
                  <c:v>0.392578125</c:v>
                </c:pt>
                <c:pt idx="201">
                  <c:v>0.39453125</c:v>
                </c:pt>
                <c:pt idx="202">
                  <c:v>0.396484375</c:v>
                </c:pt>
                <c:pt idx="203">
                  <c:v>0.3984375</c:v>
                </c:pt>
                <c:pt idx="204">
                  <c:v>0.400390625</c:v>
                </c:pt>
                <c:pt idx="205">
                  <c:v>0.40234375</c:v>
                </c:pt>
                <c:pt idx="206">
                  <c:v>0.404296875</c:v>
                </c:pt>
                <c:pt idx="207">
                  <c:v>0.40625</c:v>
                </c:pt>
                <c:pt idx="208">
                  <c:v>0.408203125</c:v>
                </c:pt>
                <c:pt idx="209">
                  <c:v>0.41015625</c:v>
                </c:pt>
                <c:pt idx="210">
                  <c:v>0.412109375</c:v>
                </c:pt>
                <c:pt idx="211">
                  <c:v>0.4140625</c:v>
                </c:pt>
                <c:pt idx="212">
                  <c:v>0.416015625</c:v>
                </c:pt>
                <c:pt idx="213">
                  <c:v>0.41796875</c:v>
                </c:pt>
                <c:pt idx="214">
                  <c:v>0.419921875</c:v>
                </c:pt>
                <c:pt idx="215">
                  <c:v>0.421875</c:v>
                </c:pt>
                <c:pt idx="216">
                  <c:v>0.423828125</c:v>
                </c:pt>
                <c:pt idx="217">
                  <c:v>0.42578125</c:v>
                </c:pt>
                <c:pt idx="218">
                  <c:v>0.427734375</c:v>
                </c:pt>
                <c:pt idx="219">
                  <c:v>0.4296875</c:v>
                </c:pt>
                <c:pt idx="220">
                  <c:v>0.431640625</c:v>
                </c:pt>
                <c:pt idx="221">
                  <c:v>0.43359375</c:v>
                </c:pt>
                <c:pt idx="222">
                  <c:v>0.435546875</c:v>
                </c:pt>
                <c:pt idx="223">
                  <c:v>0.4375</c:v>
                </c:pt>
                <c:pt idx="224">
                  <c:v>0.439453125</c:v>
                </c:pt>
                <c:pt idx="225">
                  <c:v>0.44140625</c:v>
                </c:pt>
                <c:pt idx="226">
                  <c:v>0.443359375</c:v>
                </c:pt>
                <c:pt idx="227">
                  <c:v>0.4453125</c:v>
                </c:pt>
                <c:pt idx="228">
                  <c:v>0.447265625</c:v>
                </c:pt>
                <c:pt idx="229">
                  <c:v>0.44921875</c:v>
                </c:pt>
                <c:pt idx="230">
                  <c:v>0.451171875</c:v>
                </c:pt>
                <c:pt idx="231">
                  <c:v>0.453125</c:v>
                </c:pt>
                <c:pt idx="232">
                  <c:v>0.455078125</c:v>
                </c:pt>
                <c:pt idx="233">
                  <c:v>0.45703125</c:v>
                </c:pt>
                <c:pt idx="234">
                  <c:v>0.458984375</c:v>
                </c:pt>
                <c:pt idx="235">
                  <c:v>0.4609375</c:v>
                </c:pt>
                <c:pt idx="236">
                  <c:v>0.462890625</c:v>
                </c:pt>
                <c:pt idx="237">
                  <c:v>0.46484375</c:v>
                </c:pt>
                <c:pt idx="238">
                  <c:v>0.466796875</c:v>
                </c:pt>
                <c:pt idx="239">
                  <c:v>0.46875</c:v>
                </c:pt>
                <c:pt idx="240">
                  <c:v>0.470703125</c:v>
                </c:pt>
                <c:pt idx="241">
                  <c:v>0.47265625</c:v>
                </c:pt>
                <c:pt idx="242">
                  <c:v>0.474609375</c:v>
                </c:pt>
                <c:pt idx="243">
                  <c:v>0.4765625</c:v>
                </c:pt>
                <c:pt idx="244">
                  <c:v>0.478515625</c:v>
                </c:pt>
                <c:pt idx="245">
                  <c:v>0.48046875</c:v>
                </c:pt>
                <c:pt idx="246">
                  <c:v>0.482421875</c:v>
                </c:pt>
                <c:pt idx="247">
                  <c:v>0.484375</c:v>
                </c:pt>
                <c:pt idx="248">
                  <c:v>0.486328125</c:v>
                </c:pt>
                <c:pt idx="249">
                  <c:v>0.48828125</c:v>
                </c:pt>
                <c:pt idx="250">
                  <c:v>0.490234375</c:v>
                </c:pt>
                <c:pt idx="251">
                  <c:v>0.4921875</c:v>
                </c:pt>
                <c:pt idx="252">
                  <c:v>0.494140625</c:v>
                </c:pt>
                <c:pt idx="253">
                  <c:v>0.49609375</c:v>
                </c:pt>
                <c:pt idx="254">
                  <c:v>0.498046875</c:v>
                </c:pt>
                <c:pt idx="255">
                  <c:v>0.5</c:v>
                </c:pt>
                <c:pt idx="256">
                  <c:v>0.501953125</c:v>
                </c:pt>
                <c:pt idx="257">
                  <c:v>0.50390625</c:v>
                </c:pt>
                <c:pt idx="258">
                  <c:v>0.505859375</c:v>
                </c:pt>
                <c:pt idx="259">
                  <c:v>0.5078125</c:v>
                </c:pt>
                <c:pt idx="260">
                  <c:v>0.509765625</c:v>
                </c:pt>
                <c:pt idx="261">
                  <c:v>0.51171875</c:v>
                </c:pt>
                <c:pt idx="262">
                  <c:v>0.513671875</c:v>
                </c:pt>
                <c:pt idx="263">
                  <c:v>0.515625</c:v>
                </c:pt>
                <c:pt idx="264">
                  <c:v>0.517578125</c:v>
                </c:pt>
                <c:pt idx="265">
                  <c:v>0.51953125</c:v>
                </c:pt>
                <c:pt idx="266">
                  <c:v>0.521484375</c:v>
                </c:pt>
                <c:pt idx="267">
                  <c:v>0.5234375</c:v>
                </c:pt>
                <c:pt idx="268">
                  <c:v>0.525390625</c:v>
                </c:pt>
                <c:pt idx="269">
                  <c:v>0.52734375</c:v>
                </c:pt>
                <c:pt idx="270">
                  <c:v>0.529296875</c:v>
                </c:pt>
                <c:pt idx="271">
                  <c:v>0.53125</c:v>
                </c:pt>
                <c:pt idx="272">
                  <c:v>0.533203125</c:v>
                </c:pt>
                <c:pt idx="273">
                  <c:v>0.53515625</c:v>
                </c:pt>
                <c:pt idx="274">
                  <c:v>0.537109375</c:v>
                </c:pt>
                <c:pt idx="275">
                  <c:v>0.5390625</c:v>
                </c:pt>
                <c:pt idx="276">
                  <c:v>0.541015625</c:v>
                </c:pt>
                <c:pt idx="277">
                  <c:v>0.54296875</c:v>
                </c:pt>
                <c:pt idx="278">
                  <c:v>0.544921875</c:v>
                </c:pt>
                <c:pt idx="279">
                  <c:v>0.546875</c:v>
                </c:pt>
                <c:pt idx="280">
                  <c:v>0.548828125</c:v>
                </c:pt>
                <c:pt idx="281">
                  <c:v>0.55078125</c:v>
                </c:pt>
                <c:pt idx="282">
                  <c:v>0.552734375</c:v>
                </c:pt>
                <c:pt idx="283">
                  <c:v>0.5546875</c:v>
                </c:pt>
                <c:pt idx="284">
                  <c:v>0.556640625</c:v>
                </c:pt>
                <c:pt idx="285">
                  <c:v>0.55859375</c:v>
                </c:pt>
                <c:pt idx="286">
                  <c:v>0.560546875</c:v>
                </c:pt>
                <c:pt idx="287">
                  <c:v>0.5625</c:v>
                </c:pt>
                <c:pt idx="288">
                  <c:v>0.564453125</c:v>
                </c:pt>
                <c:pt idx="289">
                  <c:v>0.56640625</c:v>
                </c:pt>
                <c:pt idx="290">
                  <c:v>0.568359375</c:v>
                </c:pt>
                <c:pt idx="291">
                  <c:v>0.5703125</c:v>
                </c:pt>
                <c:pt idx="292">
                  <c:v>0.572265625</c:v>
                </c:pt>
                <c:pt idx="293">
                  <c:v>0.57421875</c:v>
                </c:pt>
                <c:pt idx="294">
                  <c:v>0.576171875</c:v>
                </c:pt>
                <c:pt idx="295">
                  <c:v>0.578125</c:v>
                </c:pt>
                <c:pt idx="296">
                  <c:v>0.580078125</c:v>
                </c:pt>
                <c:pt idx="297">
                  <c:v>0.58203125</c:v>
                </c:pt>
                <c:pt idx="298">
                  <c:v>0.583984375</c:v>
                </c:pt>
                <c:pt idx="299">
                  <c:v>0.5859375</c:v>
                </c:pt>
                <c:pt idx="300">
                  <c:v>0.587890625</c:v>
                </c:pt>
                <c:pt idx="301">
                  <c:v>0.58984375</c:v>
                </c:pt>
                <c:pt idx="302">
                  <c:v>0.591796875</c:v>
                </c:pt>
                <c:pt idx="303">
                  <c:v>0.59375</c:v>
                </c:pt>
                <c:pt idx="304">
                  <c:v>0.595703125</c:v>
                </c:pt>
                <c:pt idx="305">
                  <c:v>0.59765625</c:v>
                </c:pt>
                <c:pt idx="306">
                  <c:v>0.599609375</c:v>
                </c:pt>
                <c:pt idx="307">
                  <c:v>0.6015625</c:v>
                </c:pt>
                <c:pt idx="308">
                  <c:v>0.603515625</c:v>
                </c:pt>
                <c:pt idx="309">
                  <c:v>0.60546875</c:v>
                </c:pt>
                <c:pt idx="310">
                  <c:v>0.607421875</c:v>
                </c:pt>
                <c:pt idx="311">
                  <c:v>0.609375</c:v>
                </c:pt>
                <c:pt idx="312">
                  <c:v>0.611328125</c:v>
                </c:pt>
                <c:pt idx="313">
                  <c:v>0.61328125</c:v>
                </c:pt>
                <c:pt idx="314">
                  <c:v>0.615234375</c:v>
                </c:pt>
                <c:pt idx="315">
                  <c:v>0.6171875</c:v>
                </c:pt>
                <c:pt idx="316">
                  <c:v>0.619140625</c:v>
                </c:pt>
                <c:pt idx="317">
                  <c:v>0.62109375</c:v>
                </c:pt>
                <c:pt idx="318">
                  <c:v>0.623046875</c:v>
                </c:pt>
                <c:pt idx="319">
                  <c:v>0.625</c:v>
                </c:pt>
                <c:pt idx="320">
                  <c:v>0.626953125</c:v>
                </c:pt>
                <c:pt idx="321">
                  <c:v>0.62890625</c:v>
                </c:pt>
                <c:pt idx="322">
                  <c:v>0.630859375</c:v>
                </c:pt>
                <c:pt idx="323">
                  <c:v>0.6328125</c:v>
                </c:pt>
                <c:pt idx="324">
                  <c:v>0.634765625</c:v>
                </c:pt>
                <c:pt idx="325">
                  <c:v>0.63671875</c:v>
                </c:pt>
                <c:pt idx="326">
                  <c:v>0.638671875</c:v>
                </c:pt>
                <c:pt idx="327">
                  <c:v>0.640625</c:v>
                </c:pt>
                <c:pt idx="328">
                  <c:v>0.642578125</c:v>
                </c:pt>
                <c:pt idx="329">
                  <c:v>0.64453125</c:v>
                </c:pt>
                <c:pt idx="330">
                  <c:v>0.646484375</c:v>
                </c:pt>
                <c:pt idx="331">
                  <c:v>0.6484375</c:v>
                </c:pt>
                <c:pt idx="332">
                  <c:v>0.650390625</c:v>
                </c:pt>
                <c:pt idx="333">
                  <c:v>0.65234375</c:v>
                </c:pt>
                <c:pt idx="334">
                  <c:v>0.654296875</c:v>
                </c:pt>
                <c:pt idx="335">
                  <c:v>0.65625</c:v>
                </c:pt>
                <c:pt idx="336">
                  <c:v>0.658203125</c:v>
                </c:pt>
                <c:pt idx="337">
                  <c:v>0.66015625</c:v>
                </c:pt>
                <c:pt idx="338">
                  <c:v>0.662109375</c:v>
                </c:pt>
                <c:pt idx="339">
                  <c:v>0.6640625</c:v>
                </c:pt>
                <c:pt idx="340">
                  <c:v>0.666015625</c:v>
                </c:pt>
                <c:pt idx="341">
                  <c:v>0.66796875</c:v>
                </c:pt>
                <c:pt idx="342">
                  <c:v>0.669921875</c:v>
                </c:pt>
                <c:pt idx="343">
                  <c:v>0.671875</c:v>
                </c:pt>
                <c:pt idx="344">
                  <c:v>0.673828125</c:v>
                </c:pt>
                <c:pt idx="345">
                  <c:v>0.67578125</c:v>
                </c:pt>
                <c:pt idx="346">
                  <c:v>0.677734375</c:v>
                </c:pt>
                <c:pt idx="347">
                  <c:v>0.6796875</c:v>
                </c:pt>
                <c:pt idx="348">
                  <c:v>0.681640625</c:v>
                </c:pt>
                <c:pt idx="349">
                  <c:v>0.68359375</c:v>
                </c:pt>
                <c:pt idx="350">
                  <c:v>0.685546875</c:v>
                </c:pt>
                <c:pt idx="351">
                  <c:v>0.6875</c:v>
                </c:pt>
                <c:pt idx="352">
                  <c:v>0.689453125</c:v>
                </c:pt>
                <c:pt idx="353">
                  <c:v>0.69140625</c:v>
                </c:pt>
                <c:pt idx="354">
                  <c:v>0.693359375</c:v>
                </c:pt>
                <c:pt idx="355">
                  <c:v>0.6953125</c:v>
                </c:pt>
                <c:pt idx="356">
                  <c:v>0.697265625</c:v>
                </c:pt>
                <c:pt idx="357">
                  <c:v>0.69921875</c:v>
                </c:pt>
                <c:pt idx="358">
                  <c:v>0.701171875</c:v>
                </c:pt>
                <c:pt idx="359">
                  <c:v>0.703125</c:v>
                </c:pt>
                <c:pt idx="360">
                  <c:v>0.705078125</c:v>
                </c:pt>
                <c:pt idx="361">
                  <c:v>0.70703125</c:v>
                </c:pt>
                <c:pt idx="362">
                  <c:v>0.708984375</c:v>
                </c:pt>
                <c:pt idx="363">
                  <c:v>0.7109375</c:v>
                </c:pt>
                <c:pt idx="364">
                  <c:v>0.712890625</c:v>
                </c:pt>
                <c:pt idx="365">
                  <c:v>0.71484375</c:v>
                </c:pt>
                <c:pt idx="366">
                  <c:v>0.716796875</c:v>
                </c:pt>
                <c:pt idx="367">
                  <c:v>0.71875</c:v>
                </c:pt>
                <c:pt idx="368">
                  <c:v>0.720703125</c:v>
                </c:pt>
                <c:pt idx="369">
                  <c:v>0.72265625</c:v>
                </c:pt>
                <c:pt idx="370">
                  <c:v>0.724609375</c:v>
                </c:pt>
                <c:pt idx="371">
                  <c:v>0.7265625</c:v>
                </c:pt>
                <c:pt idx="372">
                  <c:v>0.728515625</c:v>
                </c:pt>
                <c:pt idx="373">
                  <c:v>0.73046875</c:v>
                </c:pt>
                <c:pt idx="374">
                  <c:v>0.732421875</c:v>
                </c:pt>
                <c:pt idx="375">
                  <c:v>0.734375</c:v>
                </c:pt>
                <c:pt idx="376">
                  <c:v>0.736328125</c:v>
                </c:pt>
                <c:pt idx="377">
                  <c:v>0.73828125</c:v>
                </c:pt>
                <c:pt idx="378">
                  <c:v>0.740234375</c:v>
                </c:pt>
                <c:pt idx="379">
                  <c:v>0.7421875</c:v>
                </c:pt>
                <c:pt idx="380">
                  <c:v>0.744140625</c:v>
                </c:pt>
                <c:pt idx="381">
                  <c:v>0.74609375</c:v>
                </c:pt>
                <c:pt idx="382">
                  <c:v>0.748046875</c:v>
                </c:pt>
                <c:pt idx="383">
                  <c:v>0.75</c:v>
                </c:pt>
                <c:pt idx="384">
                  <c:v>0.751953125</c:v>
                </c:pt>
                <c:pt idx="385">
                  <c:v>0.75390625</c:v>
                </c:pt>
                <c:pt idx="386">
                  <c:v>0.755859375</c:v>
                </c:pt>
                <c:pt idx="387">
                  <c:v>0.7578125</c:v>
                </c:pt>
                <c:pt idx="388">
                  <c:v>0.759765625</c:v>
                </c:pt>
                <c:pt idx="389">
                  <c:v>0.76171875</c:v>
                </c:pt>
                <c:pt idx="390">
                  <c:v>0.763671875</c:v>
                </c:pt>
                <c:pt idx="391">
                  <c:v>0.765625</c:v>
                </c:pt>
                <c:pt idx="392">
                  <c:v>0.767578125</c:v>
                </c:pt>
                <c:pt idx="393">
                  <c:v>0.76953125</c:v>
                </c:pt>
                <c:pt idx="394">
                  <c:v>0.771484375</c:v>
                </c:pt>
                <c:pt idx="395">
                  <c:v>0.7734375</c:v>
                </c:pt>
                <c:pt idx="396">
                  <c:v>0.775390625</c:v>
                </c:pt>
                <c:pt idx="397">
                  <c:v>0.77734375</c:v>
                </c:pt>
                <c:pt idx="398">
                  <c:v>0.779296875</c:v>
                </c:pt>
                <c:pt idx="399">
                  <c:v>0.78125</c:v>
                </c:pt>
                <c:pt idx="400">
                  <c:v>0.783203125</c:v>
                </c:pt>
                <c:pt idx="401">
                  <c:v>0.78515625</c:v>
                </c:pt>
                <c:pt idx="402">
                  <c:v>0.787109375</c:v>
                </c:pt>
                <c:pt idx="403">
                  <c:v>0.7890625</c:v>
                </c:pt>
                <c:pt idx="404">
                  <c:v>0.791015625</c:v>
                </c:pt>
                <c:pt idx="405">
                  <c:v>0.79296875</c:v>
                </c:pt>
                <c:pt idx="406">
                  <c:v>0.794921875</c:v>
                </c:pt>
                <c:pt idx="407">
                  <c:v>0.796875</c:v>
                </c:pt>
                <c:pt idx="408">
                  <c:v>0.798828125</c:v>
                </c:pt>
                <c:pt idx="409">
                  <c:v>0.80078125</c:v>
                </c:pt>
                <c:pt idx="410">
                  <c:v>0.802734375</c:v>
                </c:pt>
                <c:pt idx="411">
                  <c:v>0.8046875</c:v>
                </c:pt>
                <c:pt idx="412">
                  <c:v>0.806640625</c:v>
                </c:pt>
                <c:pt idx="413">
                  <c:v>0.80859375</c:v>
                </c:pt>
                <c:pt idx="414">
                  <c:v>0.810546875</c:v>
                </c:pt>
                <c:pt idx="415">
                  <c:v>0.8125</c:v>
                </c:pt>
                <c:pt idx="416">
                  <c:v>0.814453125</c:v>
                </c:pt>
                <c:pt idx="417">
                  <c:v>0.81640625</c:v>
                </c:pt>
                <c:pt idx="418">
                  <c:v>0.818359375</c:v>
                </c:pt>
                <c:pt idx="419">
                  <c:v>0.8203125</c:v>
                </c:pt>
                <c:pt idx="420">
                  <c:v>0.822265625</c:v>
                </c:pt>
                <c:pt idx="421">
                  <c:v>0.82421875</c:v>
                </c:pt>
                <c:pt idx="422">
                  <c:v>0.826171875</c:v>
                </c:pt>
                <c:pt idx="423">
                  <c:v>0.828125</c:v>
                </c:pt>
                <c:pt idx="424">
                  <c:v>0.830078125</c:v>
                </c:pt>
                <c:pt idx="425">
                  <c:v>0.83203125</c:v>
                </c:pt>
                <c:pt idx="426">
                  <c:v>0.833984375</c:v>
                </c:pt>
                <c:pt idx="427">
                  <c:v>0.8359375</c:v>
                </c:pt>
                <c:pt idx="428">
                  <c:v>0.837890625</c:v>
                </c:pt>
                <c:pt idx="429">
                  <c:v>0.83984375</c:v>
                </c:pt>
                <c:pt idx="430">
                  <c:v>0.841796875</c:v>
                </c:pt>
                <c:pt idx="431">
                  <c:v>0.84375</c:v>
                </c:pt>
                <c:pt idx="432">
                  <c:v>0.845703125</c:v>
                </c:pt>
                <c:pt idx="433">
                  <c:v>0.84765625</c:v>
                </c:pt>
                <c:pt idx="434">
                  <c:v>0.849609375</c:v>
                </c:pt>
                <c:pt idx="435">
                  <c:v>0.8515625</c:v>
                </c:pt>
                <c:pt idx="436">
                  <c:v>0.853515625</c:v>
                </c:pt>
                <c:pt idx="437">
                  <c:v>0.85546875</c:v>
                </c:pt>
                <c:pt idx="438">
                  <c:v>0.857421875</c:v>
                </c:pt>
                <c:pt idx="439">
                  <c:v>0.859375</c:v>
                </c:pt>
                <c:pt idx="440">
                  <c:v>0.861328125</c:v>
                </c:pt>
                <c:pt idx="441">
                  <c:v>0.86328125</c:v>
                </c:pt>
                <c:pt idx="442">
                  <c:v>0.865234375</c:v>
                </c:pt>
                <c:pt idx="443">
                  <c:v>0.8671875</c:v>
                </c:pt>
                <c:pt idx="444">
                  <c:v>0.869140625</c:v>
                </c:pt>
                <c:pt idx="445">
                  <c:v>0.87109375</c:v>
                </c:pt>
                <c:pt idx="446">
                  <c:v>0.873046875</c:v>
                </c:pt>
                <c:pt idx="447">
                  <c:v>0.875</c:v>
                </c:pt>
                <c:pt idx="448">
                  <c:v>0.876953125</c:v>
                </c:pt>
                <c:pt idx="449">
                  <c:v>0.87890625</c:v>
                </c:pt>
                <c:pt idx="450">
                  <c:v>0.880859375</c:v>
                </c:pt>
                <c:pt idx="451">
                  <c:v>0.8828125</c:v>
                </c:pt>
                <c:pt idx="452">
                  <c:v>0.884765625</c:v>
                </c:pt>
                <c:pt idx="453">
                  <c:v>0.88671875</c:v>
                </c:pt>
                <c:pt idx="454">
                  <c:v>0.888671875</c:v>
                </c:pt>
                <c:pt idx="455">
                  <c:v>0.890625</c:v>
                </c:pt>
                <c:pt idx="456">
                  <c:v>0.892578125</c:v>
                </c:pt>
                <c:pt idx="457">
                  <c:v>0.89453125</c:v>
                </c:pt>
                <c:pt idx="458">
                  <c:v>0.896484375</c:v>
                </c:pt>
                <c:pt idx="459">
                  <c:v>0.8984375</c:v>
                </c:pt>
                <c:pt idx="460">
                  <c:v>0.900390625</c:v>
                </c:pt>
                <c:pt idx="461">
                  <c:v>0.90234375</c:v>
                </c:pt>
                <c:pt idx="462">
                  <c:v>0.904296875</c:v>
                </c:pt>
                <c:pt idx="463">
                  <c:v>0.90625</c:v>
                </c:pt>
                <c:pt idx="464">
                  <c:v>0.908203125</c:v>
                </c:pt>
                <c:pt idx="465">
                  <c:v>0.91015625</c:v>
                </c:pt>
                <c:pt idx="466">
                  <c:v>0.912109375</c:v>
                </c:pt>
                <c:pt idx="467">
                  <c:v>0.9140625</c:v>
                </c:pt>
                <c:pt idx="468">
                  <c:v>0.916015625</c:v>
                </c:pt>
                <c:pt idx="469">
                  <c:v>0.91796875</c:v>
                </c:pt>
                <c:pt idx="470">
                  <c:v>0.919921875</c:v>
                </c:pt>
                <c:pt idx="471">
                  <c:v>0.921875</c:v>
                </c:pt>
                <c:pt idx="472">
                  <c:v>0.923828125</c:v>
                </c:pt>
                <c:pt idx="473">
                  <c:v>0.92578125</c:v>
                </c:pt>
                <c:pt idx="474">
                  <c:v>0.927734375</c:v>
                </c:pt>
                <c:pt idx="475">
                  <c:v>0.9296875</c:v>
                </c:pt>
                <c:pt idx="476">
                  <c:v>0.931640625</c:v>
                </c:pt>
                <c:pt idx="477">
                  <c:v>0.93359375</c:v>
                </c:pt>
                <c:pt idx="478">
                  <c:v>0.935546875</c:v>
                </c:pt>
                <c:pt idx="479">
                  <c:v>0.9375</c:v>
                </c:pt>
                <c:pt idx="480">
                  <c:v>0.939453125</c:v>
                </c:pt>
                <c:pt idx="481">
                  <c:v>0.94140625</c:v>
                </c:pt>
                <c:pt idx="482">
                  <c:v>0.943359375</c:v>
                </c:pt>
                <c:pt idx="483">
                  <c:v>0.9453125</c:v>
                </c:pt>
                <c:pt idx="484">
                  <c:v>0.947265625</c:v>
                </c:pt>
                <c:pt idx="485">
                  <c:v>0.94921875</c:v>
                </c:pt>
                <c:pt idx="486">
                  <c:v>0.951171875</c:v>
                </c:pt>
                <c:pt idx="487">
                  <c:v>0.953125</c:v>
                </c:pt>
                <c:pt idx="488">
                  <c:v>0.955078125</c:v>
                </c:pt>
                <c:pt idx="489">
                  <c:v>0.95703125</c:v>
                </c:pt>
                <c:pt idx="490">
                  <c:v>0.958984375</c:v>
                </c:pt>
                <c:pt idx="491">
                  <c:v>0.9609375</c:v>
                </c:pt>
                <c:pt idx="492">
                  <c:v>0.962890625</c:v>
                </c:pt>
                <c:pt idx="493">
                  <c:v>0.96484375</c:v>
                </c:pt>
                <c:pt idx="494">
                  <c:v>0.966796875</c:v>
                </c:pt>
                <c:pt idx="495">
                  <c:v>0.96875</c:v>
                </c:pt>
                <c:pt idx="496">
                  <c:v>0.970703125</c:v>
                </c:pt>
                <c:pt idx="497">
                  <c:v>0.97265625</c:v>
                </c:pt>
                <c:pt idx="498">
                  <c:v>0.974609375</c:v>
                </c:pt>
                <c:pt idx="499">
                  <c:v>0.9765625</c:v>
                </c:pt>
                <c:pt idx="500">
                  <c:v>0.978515625</c:v>
                </c:pt>
                <c:pt idx="501">
                  <c:v>0.98046875</c:v>
                </c:pt>
                <c:pt idx="502">
                  <c:v>0.982421875</c:v>
                </c:pt>
                <c:pt idx="503">
                  <c:v>0.984375</c:v>
                </c:pt>
                <c:pt idx="504">
                  <c:v>0.986328125</c:v>
                </c:pt>
                <c:pt idx="505">
                  <c:v>0.98828125</c:v>
                </c:pt>
                <c:pt idx="506">
                  <c:v>0.990234375</c:v>
                </c:pt>
                <c:pt idx="507">
                  <c:v>0.9921875</c:v>
                </c:pt>
                <c:pt idx="508">
                  <c:v>0.994140625</c:v>
                </c:pt>
                <c:pt idx="509">
                  <c:v>0.99609375</c:v>
                </c:pt>
                <c:pt idx="510">
                  <c:v>0.998046875</c:v>
                </c:pt>
                <c:pt idx="511">
                  <c:v>1</c:v>
                </c:pt>
              </c:numCache>
            </c:numRef>
          </c:xVal>
          <c:yVal>
            <c:numRef>
              <c:f>'Gold Futures Historical Data'!$E$2:$E$513</c:f>
              <c:numCache>
                <c:formatCode>General</c:formatCode>
                <c:ptCount val="512"/>
                <c:pt idx="0">
                  <c:v>904400.1</c:v>
                </c:pt>
                <c:pt idx="1">
                  <c:v>124037.9729104893</c:v>
                </c:pt>
                <c:pt idx="2">
                  <c:v>88961.741728410809</c:v>
                </c:pt>
                <c:pt idx="3">
                  <c:v>57095.841924287808</c:v>
                </c:pt>
                <c:pt idx="4">
                  <c:v>54271.588203239568</c:v>
                </c:pt>
                <c:pt idx="5">
                  <c:v>33616.926442260745</c:v>
                </c:pt>
                <c:pt idx="6">
                  <c:v>31970.370756498753</c:v>
                </c:pt>
                <c:pt idx="7">
                  <c:v>21278.228013967029</c:v>
                </c:pt>
                <c:pt idx="8">
                  <c:v>27343.758770188593</c:v>
                </c:pt>
                <c:pt idx="9">
                  <c:v>25739.754934525768</c:v>
                </c:pt>
                <c:pt idx="10">
                  <c:v>25088.341949836969</c:v>
                </c:pt>
                <c:pt idx="11">
                  <c:v>16260.544094282313</c:v>
                </c:pt>
                <c:pt idx="12">
                  <c:v>25020.623548383403</c:v>
                </c:pt>
                <c:pt idx="13">
                  <c:v>15815.094642850612</c:v>
                </c:pt>
                <c:pt idx="14">
                  <c:v>13671.700548243212</c:v>
                </c:pt>
                <c:pt idx="15">
                  <c:v>15210.356903550759</c:v>
                </c:pt>
                <c:pt idx="16">
                  <c:v>11632.766750837498</c:v>
                </c:pt>
                <c:pt idx="17">
                  <c:v>9418.4425254482921</c:v>
                </c:pt>
                <c:pt idx="18">
                  <c:v>10955.206816833035</c:v>
                </c:pt>
                <c:pt idx="19">
                  <c:v>7252.6803549845772</c:v>
                </c:pt>
                <c:pt idx="20">
                  <c:v>6853.5127976664417</c:v>
                </c:pt>
                <c:pt idx="21">
                  <c:v>9034.4619731166422</c:v>
                </c:pt>
                <c:pt idx="22">
                  <c:v>8256.5699101802347</c:v>
                </c:pt>
                <c:pt idx="23">
                  <c:v>11673.714185462472</c:v>
                </c:pt>
                <c:pt idx="24">
                  <c:v>8566.4092775152512</c:v>
                </c:pt>
                <c:pt idx="25">
                  <c:v>8076.0257148214405</c:v>
                </c:pt>
                <c:pt idx="26">
                  <c:v>9780.7909029900657</c:v>
                </c:pt>
                <c:pt idx="27">
                  <c:v>5559.9715485175102</c:v>
                </c:pt>
                <c:pt idx="28">
                  <c:v>6518.7681574042681</c:v>
                </c:pt>
                <c:pt idx="29">
                  <c:v>7691.230555048377</c:v>
                </c:pt>
                <c:pt idx="30">
                  <c:v>7669.8368449118443</c:v>
                </c:pt>
                <c:pt idx="31">
                  <c:v>6798.7882549473525</c:v>
                </c:pt>
                <c:pt idx="32">
                  <c:v>6004.965055701854</c:v>
                </c:pt>
                <c:pt idx="33">
                  <c:v>6636.3762111181486</c:v>
                </c:pt>
                <c:pt idx="34">
                  <c:v>6259.6356319815659</c:v>
                </c:pt>
                <c:pt idx="35">
                  <c:v>5391.9396721316771</c:v>
                </c:pt>
                <c:pt idx="36">
                  <c:v>6123.2175236937574</c:v>
                </c:pt>
                <c:pt idx="37">
                  <c:v>6796.5698214355116</c:v>
                </c:pt>
                <c:pt idx="38">
                  <c:v>6447.2500565023456</c:v>
                </c:pt>
                <c:pt idx="39">
                  <c:v>6519.0487926661945</c:v>
                </c:pt>
                <c:pt idx="40">
                  <c:v>4906.2463387442194</c:v>
                </c:pt>
                <c:pt idx="41">
                  <c:v>4811.2772896904908</c:v>
                </c:pt>
                <c:pt idx="42">
                  <c:v>5552.0765375996289</c:v>
                </c:pt>
                <c:pt idx="43">
                  <c:v>3863.9640479651839</c:v>
                </c:pt>
                <c:pt idx="44">
                  <c:v>4388.7329779601114</c:v>
                </c:pt>
                <c:pt idx="45">
                  <c:v>4846.7435066136768</c:v>
                </c:pt>
                <c:pt idx="46">
                  <c:v>4421.7431153856996</c:v>
                </c:pt>
                <c:pt idx="47">
                  <c:v>2659.2221556879285</c:v>
                </c:pt>
                <c:pt idx="48">
                  <c:v>4237.9188788223328</c:v>
                </c:pt>
                <c:pt idx="49">
                  <c:v>4442.8920355530681</c:v>
                </c:pt>
                <c:pt idx="50">
                  <c:v>4494.1385511837843</c:v>
                </c:pt>
                <c:pt idx="51">
                  <c:v>4032.9548307070449</c:v>
                </c:pt>
                <c:pt idx="52">
                  <c:v>4314.7715657703302</c:v>
                </c:pt>
                <c:pt idx="53">
                  <c:v>3834.1844115217355</c:v>
                </c:pt>
                <c:pt idx="54">
                  <c:v>3520.175482793305</c:v>
                </c:pt>
                <c:pt idx="55">
                  <c:v>3054.9143341662111</c:v>
                </c:pt>
                <c:pt idx="56">
                  <c:v>3957.9849064307896</c:v>
                </c:pt>
                <c:pt idx="57">
                  <c:v>3463.346726920222</c:v>
                </c:pt>
                <c:pt idx="58">
                  <c:v>4016.8749803832529</c:v>
                </c:pt>
                <c:pt idx="59">
                  <c:v>2642.4931832357529</c:v>
                </c:pt>
                <c:pt idx="60">
                  <c:v>3859.5352850056047</c:v>
                </c:pt>
                <c:pt idx="61">
                  <c:v>3482.1707887733678</c:v>
                </c:pt>
                <c:pt idx="62">
                  <c:v>1936.4670716487133</c:v>
                </c:pt>
                <c:pt idx="63">
                  <c:v>3385.4143840082097</c:v>
                </c:pt>
                <c:pt idx="64">
                  <c:v>4230.935436565127</c:v>
                </c:pt>
                <c:pt idx="65">
                  <c:v>2391.1244494823613</c:v>
                </c:pt>
                <c:pt idx="66">
                  <c:v>3506.0523644311638</c:v>
                </c:pt>
                <c:pt idx="67">
                  <c:v>2600.8924219436481</c:v>
                </c:pt>
                <c:pt idx="68">
                  <c:v>2583.9327334867789</c:v>
                </c:pt>
                <c:pt idx="69">
                  <c:v>3544.1064204155728</c:v>
                </c:pt>
                <c:pt idx="70">
                  <c:v>2974.9279448856541</c:v>
                </c:pt>
                <c:pt idx="71">
                  <c:v>3086.7183705482844</c:v>
                </c:pt>
                <c:pt idx="72">
                  <c:v>3274.975232873499</c:v>
                </c:pt>
                <c:pt idx="73">
                  <c:v>2922.4330267807468</c:v>
                </c:pt>
                <c:pt idx="74">
                  <c:v>2423.6127573240365</c:v>
                </c:pt>
                <c:pt idx="75">
                  <c:v>2805.0183213508071</c:v>
                </c:pt>
                <c:pt idx="76">
                  <c:v>1167.2309408529902</c:v>
                </c:pt>
                <c:pt idx="77">
                  <c:v>2195.7250285310479</c:v>
                </c:pt>
                <c:pt idx="78">
                  <c:v>2051.8039835237305</c:v>
                </c:pt>
                <c:pt idx="79">
                  <c:v>3268.1291090873306</c:v>
                </c:pt>
                <c:pt idx="80">
                  <c:v>2417.8006183734788</c:v>
                </c:pt>
                <c:pt idx="81">
                  <c:v>1783.6610583383283</c:v>
                </c:pt>
                <c:pt idx="82">
                  <c:v>1798.6195358584607</c:v>
                </c:pt>
                <c:pt idx="83">
                  <c:v>2385.3036308684732</c:v>
                </c:pt>
                <c:pt idx="84">
                  <c:v>3038.4458021672604</c:v>
                </c:pt>
                <c:pt idx="85">
                  <c:v>2736.7149090366947</c:v>
                </c:pt>
                <c:pt idx="86">
                  <c:v>2936.78732751395</c:v>
                </c:pt>
                <c:pt idx="87">
                  <c:v>2539.5408266633426</c:v>
                </c:pt>
                <c:pt idx="88">
                  <c:v>3142.755180080153</c:v>
                </c:pt>
                <c:pt idx="89">
                  <c:v>2959.4492945150591</c:v>
                </c:pt>
                <c:pt idx="90">
                  <c:v>2232.035112576737</c:v>
                </c:pt>
                <c:pt idx="91">
                  <c:v>1917.795521266637</c:v>
                </c:pt>
                <c:pt idx="92">
                  <c:v>2001.6346187343286</c:v>
                </c:pt>
                <c:pt idx="93">
                  <c:v>2857.4968958620543</c:v>
                </c:pt>
                <c:pt idx="94">
                  <c:v>2985.4324176515447</c:v>
                </c:pt>
                <c:pt idx="95">
                  <c:v>3274.9358967539724</c:v>
                </c:pt>
                <c:pt idx="96">
                  <c:v>2189.0562233031783</c:v>
                </c:pt>
                <c:pt idx="97">
                  <c:v>2663.571551616878</c:v>
                </c:pt>
                <c:pt idx="98">
                  <c:v>1787.9866446810111</c:v>
                </c:pt>
                <c:pt idx="99">
                  <c:v>2540.1795535429592</c:v>
                </c:pt>
                <c:pt idx="100">
                  <c:v>2370.2727649637905</c:v>
                </c:pt>
                <c:pt idx="101">
                  <c:v>1916.3318256840369</c:v>
                </c:pt>
                <c:pt idx="102">
                  <c:v>915.85718342238113</c:v>
                </c:pt>
                <c:pt idx="103">
                  <c:v>1140.5713513246214</c:v>
                </c:pt>
                <c:pt idx="104">
                  <c:v>1341.0434658160525</c:v>
                </c:pt>
                <c:pt idx="105">
                  <c:v>1988.7237954416817</c:v>
                </c:pt>
                <c:pt idx="106">
                  <c:v>2534.6313383719184</c:v>
                </c:pt>
                <c:pt idx="107">
                  <c:v>2861.8368095774445</c:v>
                </c:pt>
                <c:pt idx="108">
                  <c:v>1677.682797990941</c:v>
                </c:pt>
                <c:pt idx="109">
                  <c:v>2977.4365066073301</c:v>
                </c:pt>
                <c:pt idx="110">
                  <c:v>1955.076146987047</c:v>
                </c:pt>
                <c:pt idx="111">
                  <c:v>1859.2395901428745</c:v>
                </c:pt>
                <c:pt idx="112">
                  <c:v>1260.6109510133604</c:v>
                </c:pt>
                <c:pt idx="113">
                  <c:v>2171.2337425428755</c:v>
                </c:pt>
                <c:pt idx="114">
                  <c:v>2110.6277453985535</c:v>
                </c:pt>
                <c:pt idx="115">
                  <c:v>2615.0685836734228</c:v>
                </c:pt>
                <c:pt idx="116">
                  <c:v>2237.4186619352099</c:v>
                </c:pt>
                <c:pt idx="117">
                  <c:v>1610.6641071473384</c:v>
                </c:pt>
                <c:pt idx="118">
                  <c:v>1271.0501167556899</c:v>
                </c:pt>
                <c:pt idx="119">
                  <c:v>1762.3870358873673</c:v>
                </c:pt>
                <c:pt idx="120">
                  <c:v>1718.8437096628866</c:v>
                </c:pt>
                <c:pt idx="121">
                  <c:v>1923.1455857964922</c:v>
                </c:pt>
                <c:pt idx="122">
                  <c:v>1796.1629388096255</c:v>
                </c:pt>
                <c:pt idx="123">
                  <c:v>1526.1939442359842</c:v>
                </c:pt>
                <c:pt idx="124">
                  <c:v>644.17764188907859</c:v>
                </c:pt>
                <c:pt idx="125">
                  <c:v>1380.8880496260563</c:v>
                </c:pt>
                <c:pt idx="126">
                  <c:v>1637.483883236089</c:v>
                </c:pt>
                <c:pt idx="127">
                  <c:v>1292.7330780342415</c:v>
                </c:pt>
                <c:pt idx="128">
                  <c:v>1524.1781424754802</c:v>
                </c:pt>
                <c:pt idx="129">
                  <c:v>1431.8664299408699</c:v>
                </c:pt>
                <c:pt idx="130">
                  <c:v>2421.8864239105169</c:v>
                </c:pt>
                <c:pt idx="131">
                  <c:v>1496.9053371653094</c:v>
                </c:pt>
                <c:pt idx="132">
                  <c:v>1460.1795964704547</c:v>
                </c:pt>
                <c:pt idx="133">
                  <c:v>1906.4927251399797</c:v>
                </c:pt>
                <c:pt idx="134">
                  <c:v>1665.1162819883839</c:v>
                </c:pt>
                <c:pt idx="135">
                  <c:v>1738.1426947719767</c:v>
                </c:pt>
                <c:pt idx="136">
                  <c:v>1143.0070238251812</c:v>
                </c:pt>
                <c:pt idx="137">
                  <c:v>1957.3602658376501</c:v>
                </c:pt>
                <c:pt idx="138">
                  <c:v>1513.9192909164226</c:v>
                </c:pt>
                <c:pt idx="139">
                  <c:v>2414.710501170201</c:v>
                </c:pt>
                <c:pt idx="140">
                  <c:v>1143.2583479563325</c:v>
                </c:pt>
                <c:pt idx="141">
                  <c:v>1873.6096519979099</c:v>
                </c:pt>
                <c:pt idx="142">
                  <c:v>1117.9731355994381</c:v>
                </c:pt>
                <c:pt idx="143">
                  <c:v>1723.5637709159253</c:v>
                </c:pt>
                <c:pt idx="144">
                  <c:v>1791.388906296648</c:v>
                </c:pt>
                <c:pt idx="145">
                  <c:v>2099.7651033810771</c:v>
                </c:pt>
                <c:pt idx="146">
                  <c:v>1691.3638632186867</c:v>
                </c:pt>
                <c:pt idx="147">
                  <c:v>1986.8397135937557</c:v>
                </c:pt>
                <c:pt idx="148">
                  <c:v>1295.6701757334142</c:v>
                </c:pt>
                <c:pt idx="149">
                  <c:v>1412.190133363735</c:v>
                </c:pt>
                <c:pt idx="150">
                  <c:v>1734.4396414365133</c:v>
                </c:pt>
                <c:pt idx="151">
                  <c:v>1384.549857392167</c:v>
                </c:pt>
                <c:pt idx="152">
                  <c:v>1858.2520448055639</c:v>
                </c:pt>
                <c:pt idx="153">
                  <c:v>2019.373678497067</c:v>
                </c:pt>
                <c:pt idx="154">
                  <c:v>2011.5725206162583</c:v>
                </c:pt>
                <c:pt idx="155">
                  <c:v>2525.3465715753268</c:v>
                </c:pt>
                <c:pt idx="156">
                  <c:v>1545.4082369865594</c:v>
                </c:pt>
                <c:pt idx="157">
                  <c:v>1823.3799617064549</c:v>
                </c:pt>
                <c:pt idx="158">
                  <c:v>2133.9171232971512</c:v>
                </c:pt>
                <c:pt idx="159">
                  <c:v>1845.0232229266192</c:v>
                </c:pt>
                <c:pt idx="160">
                  <c:v>2112.4051184294995</c:v>
                </c:pt>
                <c:pt idx="161">
                  <c:v>1530.6809346152556</c:v>
                </c:pt>
                <c:pt idx="162">
                  <c:v>1568.0209076407323</c:v>
                </c:pt>
                <c:pt idx="163">
                  <c:v>1068.8511011261101</c:v>
                </c:pt>
                <c:pt idx="164">
                  <c:v>1683.4720100962968</c:v>
                </c:pt>
                <c:pt idx="165">
                  <c:v>1268.4535651085969</c:v>
                </c:pt>
                <c:pt idx="166">
                  <c:v>1763.9432998766436</c:v>
                </c:pt>
                <c:pt idx="167">
                  <c:v>1269.1731438308534</c:v>
                </c:pt>
                <c:pt idx="168">
                  <c:v>1910.8951755273551</c:v>
                </c:pt>
                <c:pt idx="169">
                  <c:v>1534.0229696673928</c:v>
                </c:pt>
                <c:pt idx="170">
                  <c:v>1577.6232326940949</c:v>
                </c:pt>
                <c:pt idx="171">
                  <c:v>1699.3241991448867</c:v>
                </c:pt>
                <c:pt idx="172">
                  <c:v>992.1332775725939</c:v>
                </c:pt>
                <c:pt idx="173">
                  <c:v>772.29212831814721</c:v>
                </c:pt>
                <c:pt idx="174">
                  <c:v>1762.7271010631225</c:v>
                </c:pt>
                <c:pt idx="175">
                  <c:v>1146.6645054646513</c:v>
                </c:pt>
                <c:pt idx="176">
                  <c:v>1241.5340930513221</c:v>
                </c:pt>
                <c:pt idx="177">
                  <c:v>742.63090475438901</c:v>
                </c:pt>
                <c:pt idx="178">
                  <c:v>1234.4814554607647</c:v>
                </c:pt>
                <c:pt idx="179">
                  <c:v>1094.9074596180124</c:v>
                </c:pt>
                <c:pt idx="180">
                  <c:v>1359.7008301975186</c:v>
                </c:pt>
                <c:pt idx="181">
                  <c:v>1989.4980044126771</c:v>
                </c:pt>
                <c:pt idx="182">
                  <c:v>1893.6087174631964</c:v>
                </c:pt>
                <c:pt idx="183">
                  <c:v>1918.2489375612824</c:v>
                </c:pt>
                <c:pt idx="184">
                  <c:v>1507.8298810018323</c:v>
                </c:pt>
                <c:pt idx="185">
                  <c:v>2287.4793879814033</c:v>
                </c:pt>
                <c:pt idx="186">
                  <c:v>1315.1136404660813</c:v>
                </c:pt>
                <c:pt idx="187">
                  <c:v>1849.5508684063557</c:v>
                </c:pt>
                <c:pt idx="188">
                  <c:v>1966.431422633565</c:v>
                </c:pt>
                <c:pt idx="189">
                  <c:v>1610.4428315510602</c:v>
                </c:pt>
                <c:pt idx="190">
                  <c:v>1587.4758071543388</c:v>
                </c:pt>
                <c:pt idx="191">
                  <c:v>1598.4984182522273</c:v>
                </c:pt>
                <c:pt idx="192">
                  <c:v>1681.7758446407925</c:v>
                </c:pt>
                <c:pt idx="193">
                  <c:v>1719.89461242683</c:v>
                </c:pt>
                <c:pt idx="194">
                  <c:v>2216.5558325961656</c:v>
                </c:pt>
                <c:pt idx="195">
                  <c:v>1691.34525609243</c:v>
                </c:pt>
                <c:pt idx="196">
                  <c:v>1783.5172148882718</c:v>
                </c:pt>
                <c:pt idx="197">
                  <c:v>1812.0057728222473</c:v>
                </c:pt>
                <c:pt idx="198">
                  <c:v>1039.45781826445</c:v>
                </c:pt>
                <c:pt idx="199">
                  <c:v>1700.7582089988503</c:v>
                </c:pt>
                <c:pt idx="200">
                  <c:v>657.48743209632539</c:v>
                </c:pt>
                <c:pt idx="201">
                  <c:v>1238.9564147249976</c:v>
                </c:pt>
                <c:pt idx="202">
                  <c:v>979.99571118882329</c:v>
                </c:pt>
                <c:pt idx="203">
                  <c:v>1265.9895612473206</c:v>
                </c:pt>
                <c:pt idx="204">
                  <c:v>1320.162210260499</c:v>
                </c:pt>
                <c:pt idx="205">
                  <c:v>1492.4105206031006</c:v>
                </c:pt>
                <c:pt idx="206">
                  <c:v>1856.9795493776162</c:v>
                </c:pt>
                <c:pt idx="207">
                  <c:v>1254.0963769718642</c:v>
                </c:pt>
                <c:pt idx="208">
                  <c:v>1649.3790487484225</c:v>
                </c:pt>
                <c:pt idx="209">
                  <c:v>1018.0594232355353</c:v>
                </c:pt>
                <c:pt idx="210">
                  <c:v>1577.3458135452811</c:v>
                </c:pt>
                <c:pt idx="211">
                  <c:v>1535.6534164287143</c:v>
                </c:pt>
                <c:pt idx="212">
                  <c:v>782.7641335341209</c:v>
                </c:pt>
                <c:pt idx="213">
                  <c:v>1604.0414796959803</c:v>
                </c:pt>
                <c:pt idx="214">
                  <c:v>702.48417295714228</c:v>
                </c:pt>
                <c:pt idx="215">
                  <c:v>1802.9977436577767</c:v>
                </c:pt>
                <c:pt idx="216">
                  <c:v>770.96925308846039</c:v>
                </c:pt>
                <c:pt idx="217">
                  <c:v>1714.2752280674015</c:v>
                </c:pt>
                <c:pt idx="218">
                  <c:v>1398.006700815959</c:v>
                </c:pt>
                <c:pt idx="219">
                  <c:v>1433.9326979592004</c:v>
                </c:pt>
                <c:pt idx="220">
                  <c:v>1694.7341080059293</c:v>
                </c:pt>
                <c:pt idx="221">
                  <c:v>1275.7305573219585</c:v>
                </c:pt>
                <c:pt idx="222">
                  <c:v>1565.7169159223472</c:v>
                </c:pt>
                <c:pt idx="223">
                  <c:v>654.72087025319502</c:v>
                </c:pt>
                <c:pt idx="224">
                  <c:v>1492.9331219615822</c:v>
                </c:pt>
                <c:pt idx="225">
                  <c:v>1280.4451857362806</c:v>
                </c:pt>
                <c:pt idx="226">
                  <c:v>1420.8495185049567</c:v>
                </c:pt>
                <c:pt idx="227">
                  <c:v>1511.8677088617433</c:v>
                </c:pt>
                <c:pt idx="228">
                  <c:v>1325.1676240193333</c:v>
                </c:pt>
                <c:pt idx="229">
                  <c:v>2267.9824053056827</c:v>
                </c:pt>
                <c:pt idx="230">
                  <c:v>978.44915154049261</c:v>
                </c:pt>
                <c:pt idx="231">
                  <c:v>1741.3937094375722</c:v>
                </c:pt>
                <c:pt idx="232">
                  <c:v>1412.1672377289699</c:v>
                </c:pt>
                <c:pt idx="233">
                  <c:v>1817.3789743563455</c:v>
                </c:pt>
                <c:pt idx="234">
                  <c:v>621.73724795854923</c:v>
                </c:pt>
                <c:pt idx="235">
                  <c:v>1106.3728455735175</c:v>
                </c:pt>
                <c:pt idx="236">
                  <c:v>1214.7684785527217</c:v>
                </c:pt>
                <c:pt idx="237">
                  <c:v>1173.9939684875162</c:v>
                </c:pt>
                <c:pt idx="238">
                  <c:v>843.25422237016062</c:v>
                </c:pt>
                <c:pt idx="239">
                  <c:v>935.40851769256187</c:v>
                </c:pt>
                <c:pt idx="240">
                  <c:v>945.02347740526841</c:v>
                </c:pt>
                <c:pt idx="241">
                  <c:v>797.64988689221138</c:v>
                </c:pt>
                <c:pt idx="242">
                  <c:v>920.33896356272692</c:v>
                </c:pt>
                <c:pt idx="243">
                  <c:v>1057.8160790680399</c:v>
                </c:pt>
                <c:pt idx="244">
                  <c:v>1016.9512053072538</c:v>
                </c:pt>
                <c:pt idx="245">
                  <c:v>1431.8767700341698</c:v>
                </c:pt>
                <c:pt idx="246">
                  <c:v>825.78939088902041</c:v>
                </c:pt>
                <c:pt idx="247">
                  <c:v>1642.4549877274496</c:v>
                </c:pt>
                <c:pt idx="248">
                  <c:v>1280.6090731464326</c:v>
                </c:pt>
                <c:pt idx="249">
                  <c:v>1197.5441022574309</c:v>
                </c:pt>
                <c:pt idx="250">
                  <c:v>1138.7054096861457</c:v>
                </c:pt>
                <c:pt idx="251">
                  <c:v>1361.2071665520755</c:v>
                </c:pt>
                <c:pt idx="252">
                  <c:v>1409.7744967435406</c:v>
                </c:pt>
                <c:pt idx="253">
                  <c:v>1780.1875614309097</c:v>
                </c:pt>
                <c:pt idx="254">
                  <c:v>1644.5996855870053</c:v>
                </c:pt>
                <c:pt idx="255">
                  <c:v>1776.142324201812</c:v>
                </c:pt>
                <c:pt idx="256">
                  <c:v>865.90000000002306</c:v>
                </c:pt>
                <c:pt idx="257">
                  <c:v>1776.1423242019412</c:v>
                </c:pt>
                <c:pt idx="258">
                  <c:v>1644.5996855870458</c:v>
                </c:pt>
                <c:pt idx="259">
                  <c:v>1780.1875614309672</c:v>
                </c:pt>
                <c:pt idx="260">
                  <c:v>1409.7744967435765</c:v>
                </c:pt>
                <c:pt idx="261">
                  <c:v>1361.2071665521071</c:v>
                </c:pt>
                <c:pt idx="262">
                  <c:v>1138.7054096861661</c:v>
                </c:pt>
                <c:pt idx="263">
                  <c:v>1197.5441022574519</c:v>
                </c:pt>
                <c:pt idx="264">
                  <c:v>1280.6090731464587</c:v>
                </c:pt>
                <c:pt idx="265">
                  <c:v>1642.4549877274801</c:v>
                </c:pt>
                <c:pt idx="266">
                  <c:v>825.78939088904531</c:v>
                </c:pt>
                <c:pt idx="267">
                  <c:v>1431.876770034188</c:v>
                </c:pt>
                <c:pt idx="268">
                  <c:v>1016.9512053072726</c:v>
                </c:pt>
                <c:pt idx="269">
                  <c:v>1057.8160790680463</c:v>
                </c:pt>
                <c:pt idx="270">
                  <c:v>920.33896356273499</c:v>
                </c:pt>
                <c:pt idx="271">
                  <c:v>797.64988689222344</c:v>
                </c:pt>
                <c:pt idx="272">
                  <c:v>945.02347740527875</c:v>
                </c:pt>
                <c:pt idx="273">
                  <c:v>935.40851769257426</c:v>
                </c:pt>
                <c:pt idx="274">
                  <c:v>843.2542223701721</c:v>
                </c:pt>
                <c:pt idx="275">
                  <c:v>1173.9939684875271</c:v>
                </c:pt>
                <c:pt idx="276">
                  <c:v>1214.768478552731</c:v>
                </c:pt>
                <c:pt idx="277">
                  <c:v>1106.3728455735295</c:v>
                </c:pt>
                <c:pt idx="278">
                  <c:v>621.73724795855298</c:v>
                </c:pt>
                <c:pt idx="279">
                  <c:v>1817.3789743563607</c:v>
                </c:pt>
                <c:pt idx="280">
                  <c:v>1412.1672377289804</c:v>
                </c:pt>
                <c:pt idx="281">
                  <c:v>1741.393709437581</c:v>
                </c:pt>
                <c:pt idx="282">
                  <c:v>978.44915154049897</c:v>
                </c:pt>
                <c:pt idx="283">
                  <c:v>2267.9824053056805</c:v>
                </c:pt>
                <c:pt idx="284">
                  <c:v>1325.1676240193299</c:v>
                </c:pt>
                <c:pt idx="285">
                  <c:v>1511.8677088617417</c:v>
                </c:pt>
                <c:pt idx="286">
                  <c:v>1420.8495185049542</c:v>
                </c:pt>
                <c:pt idx="287">
                  <c:v>1280.4451857362699</c:v>
                </c:pt>
                <c:pt idx="288">
                  <c:v>1492.9331219615913</c:v>
                </c:pt>
                <c:pt idx="289">
                  <c:v>654.72087025321036</c:v>
                </c:pt>
                <c:pt idx="290">
                  <c:v>1565.7169159223679</c:v>
                </c:pt>
                <c:pt idx="291">
                  <c:v>1275.7305573219664</c:v>
                </c:pt>
                <c:pt idx="292">
                  <c:v>1694.7341080059409</c:v>
                </c:pt>
                <c:pt idx="293">
                  <c:v>1433.9326979592115</c:v>
                </c:pt>
                <c:pt idx="294">
                  <c:v>1398.0067008159642</c:v>
                </c:pt>
                <c:pt idx="295">
                  <c:v>1714.2752280674019</c:v>
                </c:pt>
                <c:pt idx="296">
                  <c:v>770.96925308846346</c:v>
                </c:pt>
                <c:pt idx="297">
                  <c:v>1802.9977436577867</c:v>
                </c:pt>
                <c:pt idx="298">
                  <c:v>702.48417295714557</c:v>
                </c:pt>
                <c:pt idx="299">
                  <c:v>1604.041479695979</c:v>
                </c:pt>
                <c:pt idx="300">
                  <c:v>782.76413353412465</c:v>
                </c:pt>
                <c:pt idx="301">
                  <c:v>1535.6534164287129</c:v>
                </c:pt>
                <c:pt idx="302">
                  <c:v>1577.3458135452797</c:v>
                </c:pt>
                <c:pt idx="303">
                  <c:v>1018.0594232355324</c:v>
                </c:pt>
                <c:pt idx="304">
                  <c:v>1649.3790487484221</c:v>
                </c:pt>
                <c:pt idx="305">
                  <c:v>1254.0963769718712</c:v>
                </c:pt>
                <c:pt idx="306">
                  <c:v>1856.9795493776146</c:v>
                </c:pt>
                <c:pt idx="307">
                  <c:v>1492.4105206030979</c:v>
                </c:pt>
                <c:pt idx="308">
                  <c:v>1320.1622102604963</c:v>
                </c:pt>
                <c:pt idx="309">
                  <c:v>1265.9895612473183</c:v>
                </c:pt>
                <c:pt idx="310">
                  <c:v>979.99571118882</c:v>
                </c:pt>
                <c:pt idx="311">
                  <c:v>1238.9564147249857</c:v>
                </c:pt>
                <c:pt idx="312">
                  <c:v>657.48743209632653</c:v>
                </c:pt>
                <c:pt idx="313">
                  <c:v>1700.7582089988491</c:v>
                </c:pt>
                <c:pt idx="314">
                  <c:v>1039.4578182644411</c:v>
                </c:pt>
                <c:pt idx="315">
                  <c:v>1812.0057728222453</c:v>
                </c:pt>
                <c:pt idx="316">
                  <c:v>1783.5172148882687</c:v>
                </c:pt>
                <c:pt idx="317">
                  <c:v>1691.3452560924295</c:v>
                </c:pt>
                <c:pt idx="318">
                  <c:v>2216.5558325961642</c:v>
                </c:pt>
                <c:pt idx="319">
                  <c:v>1719.8946124268089</c:v>
                </c:pt>
                <c:pt idx="320">
                  <c:v>1681.7758446407925</c:v>
                </c:pt>
                <c:pt idx="321">
                  <c:v>1598.4984182522633</c:v>
                </c:pt>
                <c:pt idx="322">
                  <c:v>1587.475807154359</c:v>
                </c:pt>
                <c:pt idx="323">
                  <c:v>1610.4428315510743</c:v>
                </c:pt>
                <c:pt idx="324">
                  <c:v>1966.4314226335803</c:v>
                </c:pt>
                <c:pt idx="325">
                  <c:v>1849.5508684063698</c:v>
                </c:pt>
                <c:pt idx="326">
                  <c:v>1315.1136404660867</c:v>
                </c:pt>
                <c:pt idx="327">
                  <c:v>2287.4793879814124</c:v>
                </c:pt>
                <c:pt idx="328">
                  <c:v>1507.8298810018384</c:v>
                </c:pt>
                <c:pt idx="329">
                  <c:v>1918.248937561295</c:v>
                </c:pt>
                <c:pt idx="330">
                  <c:v>1893.6087174632103</c:v>
                </c:pt>
                <c:pt idx="331">
                  <c:v>1989.4980044126835</c:v>
                </c:pt>
                <c:pt idx="332">
                  <c:v>1359.7008301975254</c:v>
                </c:pt>
                <c:pt idx="333">
                  <c:v>1094.9074596180167</c:v>
                </c:pt>
                <c:pt idx="334">
                  <c:v>1234.4814554607608</c:v>
                </c:pt>
                <c:pt idx="335">
                  <c:v>742.63090475438969</c:v>
                </c:pt>
                <c:pt idx="336">
                  <c:v>1241.5340930513273</c:v>
                </c:pt>
                <c:pt idx="337">
                  <c:v>1146.6645054646588</c:v>
                </c:pt>
                <c:pt idx="338">
                  <c:v>1762.7271010631382</c:v>
                </c:pt>
                <c:pt idx="339">
                  <c:v>772.29212831814982</c:v>
                </c:pt>
                <c:pt idx="340">
                  <c:v>992.13327757259435</c:v>
                </c:pt>
                <c:pt idx="341">
                  <c:v>1699.3241991448931</c:v>
                </c:pt>
                <c:pt idx="342">
                  <c:v>1577.6232326940988</c:v>
                </c:pt>
                <c:pt idx="343">
                  <c:v>1534.02296966739</c:v>
                </c:pt>
                <c:pt idx="344">
                  <c:v>1910.8951755273531</c:v>
                </c:pt>
                <c:pt idx="345">
                  <c:v>1269.1731438308584</c:v>
                </c:pt>
                <c:pt idx="346">
                  <c:v>1763.9432998766404</c:v>
                </c:pt>
                <c:pt idx="347">
                  <c:v>1268.4535651085914</c:v>
                </c:pt>
                <c:pt idx="348">
                  <c:v>1683.4720100962973</c:v>
                </c:pt>
                <c:pt idx="349">
                  <c:v>1068.8511011261066</c:v>
                </c:pt>
                <c:pt idx="350">
                  <c:v>1568.020907640723</c:v>
                </c:pt>
                <c:pt idx="351">
                  <c:v>1530.6809346152429</c:v>
                </c:pt>
                <c:pt idx="352">
                  <c:v>2112.4051184295072</c:v>
                </c:pt>
                <c:pt idx="353">
                  <c:v>1845.0232229266419</c:v>
                </c:pt>
                <c:pt idx="354">
                  <c:v>2133.9171232971566</c:v>
                </c:pt>
                <c:pt idx="355">
                  <c:v>1823.3799617064642</c:v>
                </c:pt>
                <c:pt idx="356">
                  <c:v>1545.4082369865739</c:v>
                </c:pt>
                <c:pt idx="357">
                  <c:v>2525.3465715753232</c:v>
                </c:pt>
                <c:pt idx="358">
                  <c:v>2011.5725206162642</c:v>
                </c:pt>
                <c:pt idx="359">
                  <c:v>2019.3736784970642</c:v>
                </c:pt>
                <c:pt idx="360">
                  <c:v>1858.2520448055695</c:v>
                </c:pt>
                <c:pt idx="361">
                  <c:v>1384.54985739217</c:v>
                </c:pt>
                <c:pt idx="362">
                  <c:v>1734.4396414365149</c:v>
                </c:pt>
                <c:pt idx="363">
                  <c:v>1412.1901333637311</c:v>
                </c:pt>
                <c:pt idx="364">
                  <c:v>1295.6701757334167</c:v>
                </c:pt>
                <c:pt idx="365">
                  <c:v>1986.8397135937578</c:v>
                </c:pt>
                <c:pt idx="366">
                  <c:v>1691.3638632186744</c:v>
                </c:pt>
                <c:pt idx="367">
                  <c:v>2099.7651033810712</c:v>
                </c:pt>
                <c:pt idx="368">
                  <c:v>1791.3889062966396</c:v>
                </c:pt>
                <c:pt idx="369">
                  <c:v>1723.5637709159257</c:v>
                </c:pt>
                <c:pt idx="370">
                  <c:v>1117.9731355994381</c:v>
                </c:pt>
                <c:pt idx="371">
                  <c:v>1873.6096519979028</c:v>
                </c:pt>
                <c:pt idx="372">
                  <c:v>1143.2583479563261</c:v>
                </c:pt>
                <c:pt idx="373">
                  <c:v>2414.7105011701965</c:v>
                </c:pt>
                <c:pt idx="374">
                  <c:v>1513.919290916418</c:v>
                </c:pt>
                <c:pt idx="375">
                  <c:v>1957.3602658376383</c:v>
                </c:pt>
                <c:pt idx="376">
                  <c:v>1143.0070238251717</c:v>
                </c:pt>
                <c:pt idx="377">
                  <c:v>1738.1426947719729</c:v>
                </c:pt>
                <c:pt idx="378">
                  <c:v>1665.1162819883684</c:v>
                </c:pt>
                <c:pt idx="379">
                  <c:v>1906.4927251399654</c:v>
                </c:pt>
                <c:pt idx="380">
                  <c:v>1460.1795964704306</c:v>
                </c:pt>
                <c:pt idx="381">
                  <c:v>1496.9053371652865</c:v>
                </c:pt>
                <c:pt idx="382">
                  <c:v>2421.8864239104651</c:v>
                </c:pt>
                <c:pt idx="383">
                  <c:v>1431.8664299408017</c:v>
                </c:pt>
                <c:pt idx="384">
                  <c:v>1524.178142475482</c:v>
                </c:pt>
                <c:pt idx="385">
                  <c:v>1292.7330780342934</c:v>
                </c:pt>
                <c:pt idx="386">
                  <c:v>1637.4838832360933</c:v>
                </c:pt>
                <c:pt idx="387">
                  <c:v>1380.8880496260779</c:v>
                </c:pt>
                <c:pt idx="388">
                  <c:v>644.17764188909746</c:v>
                </c:pt>
                <c:pt idx="389">
                  <c:v>1526.1939442360099</c:v>
                </c:pt>
                <c:pt idx="390">
                  <c:v>1796.1629388096367</c:v>
                </c:pt>
                <c:pt idx="391">
                  <c:v>1923.1455857965004</c:v>
                </c:pt>
                <c:pt idx="392">
                  <c:v>1718.8437096629009</c:v>
                </c:pt>
                <c:pt idx="393">
                  <c:v>1762.3870358873894</c:v>
                </c:pt>
                <c:pt idx="394">
                  <c:v>1271.0501167557081</c:v>
                </c:pt>
                <c:pt idx="395">
                  <c:v>1610.6641071473468</c:v>
                </c:pt>
                <c:pt idx="396">
                  <c:v>2237.4186619352172</c:v>
                </c:pt>
                <c:pt idx="397">
                  <c:v>2615.0685836734301</c:v>
                </c:pt>
                <c:pt idx="398">
                  <c:v>2110.627745398554</c:v>
                </c:pt>
                <c:pt idx="399">
                  <c:v>2171.2337425428809</c:v>
                </c:pt>
                <c:pt idx="400">
                  <c:v>1260.610951013374</c:v>
                </c:pt>
                <c:pt idx="401">
                  <c:v>1859.2395901428958</c:v>
                </c:pt>
                <c:pt idx="402">
                  <c:v>1955.0761469870513</c:v>
                </c:pt>
                <c:pt idx="403">
                  <c:v>2977.436506607331</c:v>
                </c:pt>
                <c:pt idx="404">
                  <c:v>1677.6827979909474</c:v>
                </c:pt>
                <c:pt idx="405">
                  <c:v>2861.8368095774554</c:v>
                </c:pt>
                <c:pt idx="406">
                  <c:v>2534.6313383719194</c:v>
                </c:pt>
                <c:pt idx="407">
                  <c:v>1988.7237954416792</c:v>
                </c:pt>
                <c:pt idx="408">
                  <c:v>1341.0434658160475</c:v>
                </c:pt>
                <c:pt idx="409">
                  <c:v>1140.5713513246242</c:v>
                </c:pt>
                <c:pt idx="410">
                  <c:v>915.85718342238181</c:v>
                </c:pt>
                <c:pt idx="411">
                  <c:v>1916.3318256840371</c:v>
                </c:pt>
                <c:pt idx="412">
                  <c:v>2370.2727649637818</c:v>
                </c:pt>
                <c:pt idx="413">
                  <c:v>2540.1795535429596</c:v>
                </c:pt>
                <c:pt idx="414">
                  <c:v>1787.9866446810083</c:v>
                </c:pt>
                <c:pt idx="415">
                  <c:v>2663.5715516168566</c:v>
                </c:pt>
                <c:pt idx="416">
                  <c:v>2189.0562233031856</c:v>
                </c:pt>
                <c:pt idx="417">
                  <c:v>3274.9358967539924</c:v>
                </c:pt>
                <c:pt idx="418">
                  <c:v>2985.4324176515734</c:v>
                </c:pt>
                <c:pt idx="419">
                  <c:v>2857.4968958620693</c:v>
                </c:pt>
                <c:pt idx="420">
                  <c:v>2001.6346187343397</c:v>
                </c:pt>
                <c:pt idx="421">
                  <c:v>1917.7955212666502</c:v>
                </c:pt>
                <c:pt idx="422">
                  <c:v>2232.0351125767393</c:v>
                </c:pt>
                <c:pt idx="423">
                  <c:v>2959.4492945150614</c:v>
                </c:pt>
                <c:pt idx="424">
                  <c:v>3142.7551800801571</c:v>
                </c:pt>
                <c:pt idx="425">
                  <c:v>2539.5408266633531</c:v>
                </c:pt>
                <c:pt idx="426">
                  <c:v>2936.7873275139564</c:v>
                </c:pt>
                <c:pt idx="427">
                  <c:v>2736.7149090367025</c:v>
                </c:pt>
                <c:pt idx="428">
                  <c:v>3038.4458021672644</c:v>
                </c:pt>
                <c:pt idx="429">
                  <c:v>2385.3036308684791</c:v>
                </c:pt>
                <c:pt idx="430">
                  <c:v>1798.61953585845</c:v>
                </c:pt>
                <c:pt idx="431">
                  <c:v>1783.6610583383213</c:v>
                </c:pt>
                <c:pt idx="432">
                  <c:v>2417.8006183734819</c:v>
                </c:pt>
                <c:pt idx="433">
                  <c:v>3268.1291090873419</c:v>
                </c:pt>
                <c:pt idx="434">
                  <c:v>2051.8039835237305</c:v>
                </c:pt>
                <c:pt idx="435">
                  <c:v>2195.7250285310502</c:v>
                </c:pt>
                <c:pt idx="436">
                  <c:v>1167.2309408529825</c:v>
                </c:pt>
                <c:pt idx="437">
                  <c:v>2805.0183213508144</c:v>
                </c:pt>
                <c:pt idx="438">
                  <c:v>2423.612757324021</c:v>
                </c:pt>
                <c:pt idx="439">
                  <c:v>2922.4330267807427</c:v>
                </c:pt>
                <c:pt idx="440">
                  <c:v>3274.9752328734826</c:v>
                </c:pt>
                <c:pt idx="441">
                  <c:v>3086.7183705482757</c:v>
                </c:pt>
                <c:pt idx="442">
                  <c:v>2974.9279448856428</c:v>
                </c:pt>
                <c:pt idx="443">
                  <c:v>3544.1064204155618</c:v>
                </c:pt>
                <c:pt idx="444">
                  <c:v>2583.9327334867485</c:v>
                </c:pt>
                <c:pt idx="445">
                  <c:v>2600.8924219436281</c:v>
                </c:pt>
                <c:pt idx="446">
                  <c:v>3506.0523644311215</c:v>
                </c:pt>
                <c:pt idx="447">
                  <c:v>2391.1244494822968</c:v>
                </c:pt>
                <c:pt idx="448">
                  <c:v>4230.935436565127</c:v>
                </c:pt>
                <c:pt idx="449">
                  <c:v>3385.4143840082797</c:v>
                </c:pt>
                <c:pt idx="450">
                  <c:v>1936.4670716487801</c:v>
                </c:pt>
                <c:pt idx="451">
                  <c:v>3482.170788773406</c:v>
                </c:pt>
                <c:pt idx="452">
                  <c:v>3859.5352850056424</c:v>
                </c:pt>
                <c:pt idx="453">
                  <c:v>2642.493183235777</c:v>
                </c:pt>
                <c:pt idx="454">
                  <c:v>4016.8749803832789</c:v>
                </c:pt>
                <c:pt idx="455">
                  <c:v>3463.3467269202392</c:v>
                </c:pt>
                <c:pt idx="456">
                  <c:v>3957.9849064308096</c:v>
                </c:pt>
                <c:pt idx="457">
                  <c:v>3054.9143341662393</c:v>
                </c:pt>
                <c:pt idx="458">
                  <c:v>3520.1754827933219</c:v>
                </c:pt>
                <c:pt idx="459">
                  <c:v>3834.1844115217405</c:v>
                </c:pt>
                <c:pt idx="460">
                  <c:v>4314.7715657703475</c:v>
                </c:pt>
                <c:pt idx="461">
                  <c:v>4032.9548307070572</c:v>
                </c:pt>
                <c:pt idx="462">
                  <c:v>4494.1385511837871</c:v>
                </c:pt>
                <c:pt idx="463">
                  <c:v>4442.8920355530763</c:v>
                </c:pt>
                <c:pt idx="464">
                  <c:v>4237.9188788223428</c:v>
                </c:pt>
                <c:pt idx="465">
                  <c:v>2659.2221556879526</c:v>
                </c:pt>
                <c:pt idx="466">
                  <c:v>4421.7431153857115</c:v>
                </c:pt>
                <c:pt idx="467">
                  <c:v>4846.7435066136795</c:v>
                </c:pt>
                <c:pt idx="468">
                  <c:v>4388.7329779601168</c:v>
                </c:pt>
                <c:pt idx="469">
                  <c:v>3863.9640479651976</c:v>
                </c:pt>
                <c:pt idx="470">
                  <c:v>5552.0765375996298</c:v>
                </c:pt>
                <c:pt idx="471">
                  <c:v>4811.2772896904826</c:v>
                </c:pt>
                <c:pt idx="472">
                  <c:v>4906.2463387442267</c:v>
                </c:pt>
                <c:pt idx="473">
                  <c:v>6519.0487926662108</c:v>
                </c:pt>
                <c:pt idx="474">
                  <c:v>6447.2500565023511</c:v>
                </c:pt>
                <c:pt idx="475">
                  <c:v>6796.5698214355125</c:v>
                </c:pt>
                <c:pt idx="476">
                  <c:v>6123.2175236937392</c:v>
                </c:pt>
                <c:pt idx="477">
                  <c:v>5391.9396721316671</c:v>
                </c:pt>
                <c:pt idx="478">
                  <c:v>6259.6356319815532</c:v>
                </c:pt>
                <c:pt idx="479">
                  <c:v>6636.3762111180968</c:v>
                </c:pt>
                <c:pt idx="480">
                  <c:v>6004.9650557018567</c:v>
                </c:pt>
                <c:pt idx="481">
                  <c:v>6798.7882549474352</c:v>
                </c:pt>
                <c:pt idx="482">
                  <c:v>7669.8368449119025</c:v>
                </c:pt>
                <c:pt idx="483">
                  <c:v>7691.2305550484252</c:v>
                </c:pt>
                <c:pt idx="484">
                  <c:v>6518.7681574043008</c:v>
                </c:pt>
                <c:pt idx="485">
                  <c:v>5559.9715485175384</c:v>
                </c:pt>
                <c:pt idx="486">
                  <c:v>9780.7909029901093</c:v>
                </c:pt>
                <c:pt idx="487">
                  <c:v>8076.0257148214623</c:v>
                </c:pt>
                <c:pt idx="488">
                  <c:v>8566.4092775152767</c:v>
                </c:pt>
                <c:pt idx="489">
                  <c:v>11673.71418546247</c:v>
                </c:pt>
                <c:pt idx="490">
                  <c:v>8256.5699101802584</c:v>
                </c:pt>
                <c:pt idx="491">
                  <c:v>9034.4619731166549</c:v>
                </c:pt>
                <c:pt idx="492">
                  <c:v>6853.5127976664544</c:v>
                </c:pt>
                <c:pt idx="493">
                  <c:v>7252.6803549846036</c:v>
                </c:pt>
                <c:pt idx="494">
                  <c:v>10955.20681683307</c:v>
                </c:pt>
                <c:pt idx="495">
                  <c:v>9418.4425254482812</c:v>
                </c:pt>
                <c:pt idx="496">
                  <c:v>11632.7667508375</c:v>
                </c:pt>
                <c:pt idx="497">
                  <c:v>15210.356903550792</c:v>
                </c:pt>
                <c:pt idx="498">
                  <c:v>13671.700548243223</c:v>
                </c:pt>
                <c:pt idx="499">
                  <c:v>15815.094642850629</c:v>
                </c:pt>
                <c:pt idx="500">
                  <c:v>25020.623548383406</c:v>
                </c:pt>
                <c:pt idx="501">
                  <c:v>16260.544094282332</c:v>
                </c:pt>
                <c:pt idx="502">
                  <c:v>25088.341949837009</c:v>
                </c:pt>
                <c:pt idx="503">
                  <c:v>25739.754934525776</c:v>
                </c:pt>
                <c:pt idx="504">
                  <c:v>27343.758770188659</c:v>
                </c:pt>
                <c:pt idx="505">
                  <c:v>21278.228013967087</c:v>
                </c:pt>
                <c:pt idx="506">
                  <c:v>31970.37075649884</c:v>
                </c:pt>
                <c:pt idx="507">
                  <c:v>33616.926442260803</c:v>
                </c:pt>
                <c:pt idx="508">
                  <c:v>54271.588203239677</c:v>
                </c:pt>
                <c:pt idx="509">
                  <c:v>57095.841924287961</c:v>
                </c:pt>
                <c:pt idx="510">
                  <c:v>88961.741728410852</c:v>
                </c:pt>
                <c:pt idx="511">
                  <c:v>124037.97291048901</c:v>
                </c:pt>
              </c:numCache>
            </c:numRef>
          </c:yVal>
          <c:smooth val="1"/>
          <c:extLst>
            <c:ext xmlns:c16="http://schemas.microsoft.com/office/drawing/2014/chart" uri="{C3380CC4-5D6E-409C-BE32-E72D297353CC}">
              <c16:uniqueId val="{00000000-BA80-4FB3-BE61-EAD70D369944}"/>
            </c:ext>
          </c:extLst>
        </c:ser>
        <c:dLbls>
          <c:showLegendKey val="0"/>
          <c:showVal val="0"/>
          <c:showCatName val="0"/>
          <c:showSerName val="0"/>
          <c:showPercent val="0"/>
          <c:showBubbleSize val="0"/>
        </c:dLbls>
        <c:axId val="464487216"/>
        <c:axId val="464496336"/>
      </c:scatterChart>
      <c:valAx>
        <c:axId val="46448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64496336"/>
        <c:crosses val="autoZero"/>
        <c:crossBetween val="midCat"/>
      </c:valAx>
      <c:valAx>
        <c:axId val="46449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644872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Γραφική</a:t>
            </a:r>
            <a:r>
              <a:rPr lang="el-GR" baseline="0"/>
              <a:t> Παράσταση Συνάρτησης </a:t>
            </a:r>
            <a:r>
              <a:rPr lang="el-GR"/>
              <a:t>Στοχαστικότητας</a:t>
            </a:r>
            <a:r>
              <a:rPr lang="el-GR" baseline="0"/>
              <a:t> - Ερώτημα 5</a:t>
            </a:r>
            <a:endParaRPr lang="en-US"/>
          </a:p>
        </c:rich>
      </c:tx>
      <c:layout>
        <c:manualLayout>
          <c:xMode val="edge"/>
          <c:yMode val="edge"/>
          <c:x val="9.4262731507950975E-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'Gold Futures Historical Data'!$I$2:$I$513</c:f>
              <c:numCache>
                <c:formatCode>General</c:formatCode>
                <c:ptCount val="512"/>
                <c:pt idx="0">
                  <c:v>-46.412044444444405</c:v>
                </c:pt>
                <c:pt idx="1">
                  <c:v>-47.012044444444342</c:v>
                </c:pt>
                <c:pt idx="2">
                  <c:v>-69.667599999999908</c:v>
                </c:pt>
                <c:pt idx="3">
                  <c:v>-29.267599999999902</c:v>
                </c:pt>
                <c:pt idx="4">
                  <c:v>-32.400933333333285</c:v>
                </c:pt>
                <c:pt idx="5">
                  <c:v>-24.05648888888885</c:v>
                </c:pt>
                <c:pt idx="6">
                  <c:v>-2.3342666666665934</c:v>
                </c:pt>
                <c:pt idx="7">
                  <c:v>30.499066666666749</c:v>
                </c:pt>
                <c:pt idx="8">
                  <c:v>102.52128888888905</c:v>
                </c:pt>
                <c:pt idx="9">
                  <c:v>90.129855555555537</c:v>
                </c:pt>
                <c:pt idx="10">
                  <c:v>68.229855555555645</c:v>
                </c:pt>
                <c:pt idx="11">
                  <c:v>111.57430000000008</c:v>
                </c:pt>
                <c:pt idx="12">
                  <c:v>102.97430000000008</c:v>
                </c:pt>
                <c:pt idx="13">
                  <c:v>101.94096666666661</c:v>
                </c:pt>
                <c:pt idx="14">
                  <c:v>71.985411111111091</c:v>
                </c:pt>
                <c:pt idx="15">
                  <c:v>75.507633333333303</c:v>
                </c:pt>
                <c:pt idx="16">
                  <c:v>87.340966666666645</c:v>
                </c:pt>
                <c:pt idx="17">
                  <c:v>68.463188888888851</c:v>
                </c:pt>
                <c:pt idx="18">
                  <c:v>60.071755555555569</c:v>
                </c:pt>
                <c:pt idx="19">
                  <c:v>109.07175555555554</c:v>
                </c:pt>
                <c:pt idx="20">
                  <c:v>105.61620000000002</c:v>
                </c:pt>
                <c:pt idx="21">
                  <c:v>87.016200000000026</c:v>
                </c:pt>
                <c:pt idx="22">
                  <c:v>71.282866666666735</c:v>
                </c:pt>
                <c:pt idx="23">
                  <c:v>37.827311111111214</c:v>
                </c:pt>
                <c:pt idx="24">
                  <c:v>65.64953333333338</c:v>
                </c:pt>
                <c:pt idx="25">
                  <c:v>90.182866666666769</c:v>
                </c:pt>
                <c:pt idx="26">
                  <c:v>99.405088888888884</c:v>
                </c:pt>
                <c:pt idx="27">
                  <c:v>123.21365555555565</c:v>
                </c:pt>
                <c:pt idx="28">
                  <c:v>128.31365555555553</c:v>
                </c:pt>
                <c:pt idx="29">
                  <c:v>140.7581000000001</c:v>
                </c:pt>
                <c:pt idx="30">
                  <c:v>112.45810000000006</c:v>
                </c:pt>
                <c:pt idx="31">
                  <c:v>112.52476666666672</c:v>
                </c:pt>
                <c:pt idx="32">
                  <c:v>149.36921111111116</c:v>
                </c:pt>
                <c:pt idx="33">
                  <c:v>137.89143333333337</c:v>
                </c:pt>
                <c:pt idx="34">
                  <c:v>128.22476666666671</c:v>
                </c:pt>
                <c:pt idx="35">
                  <c:v>121.54698888888896</c:v>
                </c:pt>
                <c:pt idx="36">
                  <c:v>97.455555555555634</c:v>
                </c:pt>
                <c:pt idx="37">
                  <c:v>86.75555555555556</c:v>
                </c:pt>
                <c:pt idx="38">
                  <c:v>87.6</c:v>
                </c:pt>
                <c:pt idx="39">
                  <c:v>66</c:v>
                </c:pt>
                <c:pt idx="40">
                  <c:v>101.56666666666666</c:v>
                </c:pt>
                <c:pt idx="41">
                  <c:v>79.711111111111052</c:v>
                </c:pt>
                <c:pt idx="42">
                  <c:v>16.133333333333354</c:v>
                </c:pt>
                <c:pt idx="43">
                  <c:v>11.266666666666652</c:v>
                </c:pt>
                <c:pt idx="44">
                  <c:v>13.788888888888948</c:v>
                </c:pt>
                <c:pt idx="45">
                  <c:v>19.097455555555484</c:v>
                </c:pt>
                <c:pt idx="46">
                  <c:v>35.297455555555501</c:v>
                </c:pt>
                <c:pt idx="47">
                  <c:v>-51.858100000000064</c:v>
                </c:pt>
                <c:pt idx="48">
                  <c:v>-64.758100000000013</c:v>
                </c:pt>
                <c:pt idx="49">
                  <c:v>-90.991433333333305</c:v>
                </c:pt>
                <c:pt idx="50">
                  <c:v>-88.846988888888916</c:v>
                </c:pt>
                <c:pt idx="51">
                  <c:v>-103.12476666666666</c:v>
                </c:pt>
                <c:pt idx="52">
                  <c:v>-136.09143333333327</c:v>
                </c:pt>
                <c:pt idx="53">
                  <c:v>-149.5692111111112</c:v>
                </c:pt>
                <c:pt idx="54">
                  <c:v>-135.26064444444444</c:v>
                </c:pt>
                <c:pt idx="55">
                  <c:v>-125.06064444444442</c:v>
                </c:pt>
                <c:pt idx="56">
                  <c:v>-109.21619999999999</c:v>
                </c:pt>
                <c:pt idx="57">
                  <c:v>-97.816199999999981</c:v>
                </c:pt>
                <c:pt idx="58">
                  <c:v>-110.24953333333332</c:v>
                </c:pt>
                <c:pt idx="59">
                  <c:v>-75.105088888888929</c:v>
                </c:pt>
                <c:pt idx="60">
                  <c:v>-58.382866666666672</c:v>
                </c:pt>
                <c:pt idx="61">
                  <c:v>-63.649533333333466</c:v>
                </c:pt>
                <c:pt idx="62">
                  <c:v>-54.127311111111169</c:v>
                </c:pt>
                <c:pt idx="63">
                  <c:v>-89.718744444444496</c:v>
                </c:pt>
                <c:pt idx="64">
                  <c:v>-126.31874444444443</c:v>
                </c:pt>
                <c:pt idx="65">
                  <c:v>-104.4743</c:v>
                </c:pt>
                <c:pt idx="66">
                  <c:v>-83.474300000000085</c:v>
                </c:pt>
                <c:pt idx="67">
                  <c:v>-76.707633333333376</c:v>
                </c:pt>
                <c:pt idx="68">
                  <c:v>-67.863188888888942</c:v>
                </c:pt>
                <c:pt idx="69">
                  <c:v>-35.040966666666776</c:v>
                </c:pt>
                <c:pt idx="70">
                  <c:v>-42.907633333333479</c:v>
                </c:pt>
                <c:pt idx="71">
                  <c:v>-73.385411111111182</c:v>
                </c:pt>
                <c:pt idx="72">
                  <c:v>-118.57684444444442</c:v>
                </c:pt>
                <c:pt idx="73">
                  <c:v>-129.27684444444449</c:v>
                </c:pt>
                <c:pt idx="74">
                  <c:v>-110.33240000000015</c:v>
                </c:pt>
                <c:pt idx="75">
                  <c:v>-93.132400000000189</c:v>
                </c:pt>
                <c:pt idx="76">
                  <c:v>-76.96573333333339</c:v>
                </c:pt>
                <c:pt idx="77">
                  <c:v>-83.021288888888819</c:v>
                </c:pt>
                <c:pt idx="78">
                  <c:v>-96.299066666666789</c:v>
                </c:pt>
                <c:pt idx="79">
                  <c:v>-104.86573333333331</c:v>
                </c:pt>
                <c:pt idx="80">
                  <c:v>-128.6435111111112</c:v>
                </c:pt>
                <c:pt idx="81">
                  <c:v>-165.03494444444448</c:v>
                </c:pt>
                <c:pt idx="82">
                  <c:v>-158.73494444444455</c:v>
                </c:pt>
                <c:pt idx="83">
                  <c:v>-138.29049999999998</c:v>
                </c:pt>
                <c:pt idx="84">
                  <c:v>-115.19050000000016</c:v>
                </c:pt>
                <c:pt idx="85">
                  <c:v>-121.82383333333354</c:v>
                </c:pt>
                <c:pt idx="86">
                  <c:v>-89.679388888888923</c:v>
                </c:pt>
                <c:pt idx="87">
                  <c:v>-90.457166666666893</c:v>
                </c:pt>
                <c:pt idx="88">
                  <c:v>-92.623833333333323</c:v>
                </c:pt>
                <c:pt idx="89">
                  <c:v>-69.801611111111072</c:v>
                </c:pt>
                <c:pt idx="90">
                  <c:v>-52.79304444444449</c:v>
                </c:pt>
                <c:pt idx="91">
                  <c:v>-90.293044444444519</c:v>
                </c:pt>
                <c:pt idx="92">
                  <c:v>-124.94860000000008</c:v>
                </c:pt>
                <c:pt idx="93">
                  <c:v>-134.94860000000017</c:v>
                </c:pt>
                <c:pt idx="94">
                  <c:v>-140.78193333333337</c:v>
                </c:pt>
                <c:pt idx="95">
                  <c:v>-108.33748888888903</c:v>
                </c:pt>
                <c:pt idx="96">
                  <c:v>-130.81526666666682</c:v>
                </c:pt>
                <c:pt idx="97">
                  <c:v>-147.98193333333347</c:v>
                </c:pt>
                <c:pt idx="98">
                  <c:v>-160.25971111111113</c:v>
                </c:pt>
                <c:pt idx="99">
                  <c:v>-159.0511444444445</c:v>
                </c:pt>
                <c:pt idx="100">
                  <c:v>-148.25114444444458</c:v>
                </c:pt>
                <c:pt idx="101">
                  <c:v>-164.40670000000014</c:v>
                </c:pt>
                <c:pt idx="102">
                  <c:v>-166.70670000000018</c:v>
                </c:pt>
                <c:pt idx="103">
                  <c:v>-196.54003333333338</c:v>
                </c:pt>
                <c:pt idx="104">
                  <c:v>-184.69558888888895</c:v>
                </c:pt>
                <c:pt idx="105">
                  <c:v>-161.77336666666687</c:v>
                </c:pt>
                <c:pt idx="106">
                  <c:v>-139.74003333333326</c:v>
                </c:pt>
                <c:pt idx="107">
                  <c:v>-136.41781111111101</c:v>
                </c:pt>
                <c:pt idx="108">
                  <c:v>-127.60924444444424</c:v>
                </c:pt>
                <c:pt idx="109">
                  <c:v>-140.90924444444445</c:v>
                </c:pt>
                <c:pt idx="110">
                  <c:v>-128.86479999999997</c:v>
                </c:pt>
                <c:pt idx="111">
                  <c:v>-140.96479999999997</c:v>
                </c:pt>
                <c:pt idx="112">
                  <c:v>-158.49813333333321</c:v>
                </c:pt>
                <c:pt idx="113">
                  <c:v>-115.25368888888869</c:v>
                </c:pt>
                <c:pt idx="114">
                  <c:v>-139.53146666666666</c:v>
                </c:pt>
                <c:pt idx="115">
                  <c:v>-154.89813333333313</c:v>
                </c:pt>
                <c:pt idx="116">
                  <c:v>-163.97591111111097</c:v>
                </c:pt>
                <c:pt idx="117">
                  <c:v>-179.46734444444439</c:v>
                </c:pt>
                <c:pt idx="118">
                  <c:v>-153.36734444444429</c:v>
                </c:pt>
                <c:pt idx="119">
                  <c:v>-182.92289999999994</c:v>
                </c:pt>
                <c:pt idx="120">
                  <c:v>-171.42290000000003</c:v>
                </c:pt>
                <c:pt idx="121">
                  <c:v>-155.55623333333318</c:v>
                </c:pt>
                <c:pt idx="122">
                  <c:v>-162.41178888888879</c:v>
                </c:pt>
                <c:pt idx="123">
                  <c:v>-175.68956666666654</c:v>
                </c:pt>
                <c:pt idx="124">
                  <c:v>-192.85623333333319</c:v>
                </c:pt>
                <c:pt idx="125">
                  <c:v>-196.53401111111094</c:v>
                </c:pt>
                <c:pt idx="126">
                  <c:v>-229.72544444444441</c:v>
                </c:pt>
                <c:pt idx="127">
                  <c:v>-228.82544444444434</c:v>
                </c:pt>
                <c:pt idx="128">
                  <c:v>-240.18099999999995</c:v>
                </c:pt>
                <c:pt idx="129">
                  <c:v>-234.0809999999999</c:v>
                </c:pt>
                <c:pt idx="130">
                  <c:v>-254.21433333333329</c:v>
                </c:pt>
                <c:pt idx="131">
                  <c:v>-259.26988888888872</c:v>
                </c:pt>
                <c:pt idx="132">
                  <c:v>-273.84766666666667</c:v>
                </c:pt>
                <c:pt idx="133">
                  <c:v>-281.0143333333333</c:v>
                </c:pt>
                <c:pt idx="134">
                  <c:v>-305.29211111111096</c:v>
                </c:pt>
                <c:pt idx="135">
                  <c:v>-319.18354444444446</c:v>
                </c:pt>
                <c:pt idx="136">
                  <c:v>-338.78354444444437</c:v>
                </c:pt>
                <c:pt idx="137">
                  <c:v>-345.53909999999985</c:v>
                </c:pt>
                <c:pt idx="138">
                  <c:v>-347.03909999999996</c:v>
                </c:pt>
                <c:pt idx="139">
                  <c:v>-377.77243333333325</c:v>
                </c:pt>
                <c:pt idx="140">
                  <c:v>-345.92798888888882</c:v>
                </c:pt>
                <c:pt idx="141">
                  <c:v>-350.90576666666664</c:v>
                </c:pt>
                <c:pt idx="142">
                  <c:v>-365.67243333333317</c:v>
                </c:pt>
                <c:pt idx="143">
                  <c:v>-374.6502111111111</c:v>
                </c:pt>
                <c:pt idx="144">
                  <c:v>-378.24164444444443</c:v>
                </c:pt>
                <c:pt idx="145">
                  <c:v>-394.84164444444434</c:v>
                </c:pt>
                <c:pt idx="146">
                  <c:v>-392.3972</c:v>
                </c:pt>
                <c:pt idx="147">
                  <c:v>-373.29719999999998</c:v>
                </c:pt>
                <c:pt idx="148">
                  <c:v>-362.53053333333327</c:v>
                </c:pt>
                <c:pt idx="149">
                  <c:v>-352.68608888888883</c:v>
                </c:pt>
                <c:pt idx="150">
                  <c:v>-353.56386666666674</c:v>
                </c:pt>
                <c:pt idx="151">
                  <c:v>-386.73053333333337</c:v>
                </c:pt>
                <c:pt idx="152">
                  <c:v>-382.00831111111103</c:v>
                </c:pt>
                <c:pt idx="153">
                  <c:v>-385.59974444444435</c:v>
                </c:pt>
                <c:pt idx="154">
                  <c:v>-394.2997444444444</c:v>
                </c:pt>
                <c:pt idx="155">
                  <c:v>-374.65530000000001</c:v>
                </c:pt>
                <c:pt idx="156">
                  <c:v>-383.1552999999999</c:v>
                </c:pt>
                <c:pt idx="157">
                  <c:v>-362.38863333333342</c:v>
                </c:pt>
                <c:pt idx="158">
                  <c:v>-334.7441888888888</c:v>
                </c:pt>
                <c:pt idx="159">
                  <c:v>-330.32196666666675</c:v>
                </c:pt>
                <c:pt idx="160">
                  <c:v>-335.08863333333329</c:v>
                </c:pt>
                <c:pt idx="161">
                  <c:v>-351.66641111111113</c:v>
                </c:pt>
                <c:pt idx="162">
                  <c:v>-339.9578444444445</c:v>
                </c:pt>
                <c:pt idx="163">
                  <c:v>-327.4578444444445</c:v>
                </c:pt>
                <c:pt idx="164">
                  <c:v>-338.01339999999993</c:v>
                </c:pt>
                <c:pt idx="165">
                  <c:v>-331.71340000000009</c:v>
                </c:pt>
                <c:pt idx="166">
                  <c:v>-316.94673333333338</c:v>
                </c:pt>
                <c:pt idx="167">
                  <c:v>-347.80228888888877</c:v>
                </c:pt>
                <c:pt idx="168">
                  <c:v>-346.08006666666677</c:v>
                </c:pt>
                <c:pt idx="169">
                  <c:v>-350.94673333333321</c:v>
                </c:pt>
                <c:pt idx="170">
                  <c:v>-351.2245111111111</c:v>
                </c:pt>
                <c:pt idx="171">
                  <c:v>-362.81594444444443</c:v>
                </c:pt>
                <c:pt idx="172">
                  <c:v>-377.11594444444438</c:v>
                </c:pt>
                <c:pt idx="173">
                  <c:v>-384.5714999999999</c:v>
                </c:pt>
                <c:pt idx="174">
                  <c:v>-401.07150000000001</c:v>
                </c:pt>
                <c:pt idx="175">
                  <c:v>-384.2048333333334</c:v>
                </c:pt>
                <c:pt idx="176">
                  <c:v>-389.06038888888878</c:v>
                </c:pt>
                <c:pt idx="177">
                  <c:v>-381.33816666666678</c:v>
                </c:pt>
                <c:pt idx="178">
                  <c:v>-401.70483333333323</c:v>
                </c:pt>
                <c:pt idx="179">
                  <c:v>-403.58261111111102</c:v>
                </c:pt>
                <c:pt idx="180">
                  <c:v>-379.67404444444435</c:v>
                </c:pt>
                <c:pt idx="181">
                  <c:v>-356.27404444444448</c:v>
                </c:pt>
                <c:pt idx="182">
                  <c:v>-364.62959999999987</c:v>
                </c:pt>
                <c:pt idx="183">
                  <c:v>-306.42959999999994</c:v>
                </c:pt>
                <c:pt idx="184">
                  <c:v>-288.66293333333346</c:v>
                </c:pt>
                <c:pt idx="185">
                  <c:v>-299.21848888888888</c:v>
                </c:pt>
                <c:pt idx="186">
                  <c:v>-285.39626666666675</c:v>
                </c:pt>
                <c:pt idx="187">
                  <c:v>-279.16293333333329</c:v>
                </c:pt>
                <c:pt idx="188">
                  <c:v>-296.14071111111099</c:v>
                </c:pt>
                <c:pt idx="189">
                  <c:v>-268.33214444444445</c:v>
                </c:pt>
                <c:pt idx="190">
                  <c:v>-228.83214444444448</c:v>
                </c:pt>
                <c:pt idx="191">
                  <c:v>-220.68770000000009</c:v>
                </c:pt>
                <c:pt idx="192">
                  <c:v>-203.98770000000013</c:v>
                </c:pt>
                <c:pt idx="193">
                  <c:v>-208.12103333333329</c:v>
                </c:pt>
                <c:pt idx="194">
                  <c:v>-219.27658888888885</c:v>
                </c:pt>
                <c:pt idx="195">
                  <c:v>-233.65436666666673</c:v>
                </c:pt>
                <c:pt idx="196">
                  <c:v>-226.52103333333343</c:v>
                </c:pt>
                <c:pt idx="197">
                  <c:v>-238.19881111111118</c:v>
                </c:pt>
                <c:pt idx="198">
                  <c:v>-235.39024444444442</c:v>
                </c:pt>
                <c:pt idx="199">
                  <c:v>-271.09024444444447</c:v>
                </c:pt>
                <c:pt idx="200">
                  <c:v>-272.54579999999999</c:v>
                </c:pt>
                <c:pt idx="201">
                  <c:v>-258.5458000000001</c:v>
                </c:pt>
                <c:pt idx="202">
                  <c:v>-248.27913333333339</c:v>
                </c:pt>
                <c:pt idx="203">
                  <c:v>-294.23468888888891</c:v>
                </c:pt>
                <c:pt idx="204">
                  <c:v>-287.01246666666668</c:v>
                </c:pt>
                <c:pt idx="205">
                  <c:v>-300.37913333333336</c:v>
                </c:pt>
                <c:pt idx="206">
                  <c:v>-302.4569111111112</c:v>
                </c:pt>
                <c:pt idx="207">
                  <c:v>-313.64834444444443</c:v>
                </c:pt>
                <c:pt idx="208">
                  <c:v>-308.94834444444439</c:v>
                </c:pt>
                <c:pt idx="209">
                  <c:v>-316.20390000000009</c:v>
                </c:pt>
                <c:pt idx="210">
                  <c:v>-276.00390000000016</c:v>
                </c:pt>
                <c:pt idx="211">
                  <c:v>-237.33723333333336</c:v>
                </c:pt>
                <c:pt idx="212">
                  <c:v>-226.89278888888879</c:v>
                </c:pt>
                <c:pt idx="213">
                  <c:v>-225.17056666666653</c:v>
                </c:pt>
                <c:pt idx="214">
                  <c:v>-221.9372333333331</c:v>
                </c:pt>
                <c:pt idx="215">
                  <c:v>-216.01501111111094</c:v>
                </c:pt>
                <c:pt idx="216">
                  <c:v>-234.40644444444422</c:v>
                </c:pt>
                <c:pt idx="217">
                  <c:v>-233.2064444444442</c:v>
                </c:pt>
                <c:pt idx="218">
                  <c:v>-177.4619999999999</c:v>
                </c:pt>
                <c:pt idx="219">
                  <c:v>-257.5619999999999</c:v>
                </c:pt>
                <c:pt idx="220">
                  <c:v>-149.19533333333328</c:v>
                </c:pt>
                <c:pt idx="221">
                  <c:v>-303.05088888888866</c:v>
                </c:pt>
                <c:pt idx="222">
                  <c:v>-332.82866666666666</c:v>
                </c:pt>
                <c:pt idx="223">
                  <c:v>-175.29533333333325</c:v>
                </c:pt>
                <c:pt idx="224">
                  <c:v>-193.5731111111109</c:v>
                </c:pt>
                <c:pt idx="225">
                  <c:v>-90.764544444444368</c:v>
                </c:pt>
                <c:pt idx="226">
                  <c:v>-154.2645444444444</c:v>
                </c:pt>
                <c:pt idx="227">
                  <c:v>-121.62009999999978</c:v>
                </c:pt>
                <c:pt idx="228">
                  <c:v>-151.42009999999982</c:v>
                </c:pt>
                <c:pt idx="229">
                  <c:v>-127.95343333333329</c:v>
                </c:pt>
                <c:pt idx="230">
                  <c:v>-83.808988888888678</c:v>
                </c:pt>
                <c:pt idx="231">
                  <c:v>-96.686766666666557</c:v>
                </c:pt>
                <c:pt idx="232">
                  <c:v>-97.953433333333123</c:v>
                </c:pt>
                <c:pt idx="233">
                  <c:v>-174.23121111111101</c:v>
                </c:pt>
                <c:pt idx="234">
                  <c:v>-125.92264444444424</c:v>
                </c:pt>
                <c:pt idx="235">
                  <c:v>-122.62264444444432</c:v>
                </c:pt>
                <c:pt idx="236">
                  <c:v>-100.77819999999988</c:v>
                </c:pt>
                <c:pt idx="237">
                  <c:v>-86.878199999999879</c:v>
                </c:pt>
                <c:pt idx="238">
                  <c:v>-81.911533333333125</c:v>
                </c:pt>
                <c:pt idx="239">
                  <c:v>-65.467088888888782</c:v>
                </c:pt>
                <c:pt idx="240">
                  <c:v>-58.544866666666479</c:v>
                </c:pt>
                <c:pt idx="241">
                  <c:v>22.188466666666727</c:v>
                </c:pt>
                <c:pt idx="242">
                  <c:v>88.31068888888916</c:v>
                </c:pt>
                <c:pt idx="243">
                  <c:v>126.6192555555557</c:v>
                </c:pt>
                <c:pt idx="244">
                  <c:v>36.919255555555623</c:v>
                </c:pt>
                <c:pt idx="245">
                  <c:v>27.163700000000148</c:v>
                </c:pt>
                <c:pt idx="246">
                  <c:v>57.763700000000199</c:v>
                </c:pt>
                <c:pt idx="247">
                  <c:v>21.230366666666725</c:v>
                </c:pt>
                <c:pt idx="248">
                  <c:v>37.574811111111387</c:v>
                </c:pt>
                <c:pt idx="249">
                  <c:v>53.397033333333326</c:v>
                </c:pt>
                <c:pt idx="250">
                  <c:v>-50.86963333333324</c:v>
                </c:pt>
                <c:pt idx="251">
                  <c:v>-12.147411111110898</c:v>
                </c:pt>
                <c:pt idx="252">
                  <c:v>2.9611555555555924</c:v>
                </c:pt>
                <c:pt idx="253">
                  <c:v>-28.138844444444345</c:v>
                </c:pt>
                <c:pt idx="254">
                  <c:v>-36.39439999999982</c:v>
                </c:pt>
                <c:pt idx="255">
                  <c:v>-59.19439999999986</c:v>
                </c:pt>
                <c:pt idx="256">
                  <c:v>16.772266666666667</c:v>
                </c:pt>
                <c:pt idx="257">
                  <c:v>-46.583288888888717</c:v>
                </c:pt>
                <c:pt idx="258">
                  <c:v>-59.761066666666551</c:v>
                </c:pt>
                <c:pt idx="259">
                  <c:v>-154.3277333333333</c:v>
                </c:pt>
                <c:pt idx="260">
                  <c:v>-112.10551111111096</c:v>
                </c:pt>
                <c:pt idx="261">
                  <c:v>-112.29694444444442</c:v>
                </c:pt>
                <c:pt idx="262">
                  <c:v>-78.396944444444358</c:v>
                </c:pt>
                <c:pt idx="263">
                  <c:v>-90.952499999999787</c:v>
                </c:pt>
                <c:pt idx="264">
                  <c:v>-76.052500000000009</c:v>
                </c:pt>
                <c:pt idx="265">
                  <c:v>-131.88583333333321</c:v>
                </c:pt>
                <c:pt idx="266">
                  <c:v>-135.14138888888868</c:v>
                </c:pt>
                <c:pt idx="267">
                  <c:v>-107.31916666666652</c:v>
                </c:pt>
                <c:pt idx="268">
                  <c:v>-122.98583333333318</c:v>
                </c:pt>
                <c:pt idx="269">
                  <c:v>-169.76361111111106</c:v>
                </c:pt>
                <c:pt idx="270">
                  <c:v>-163.15504444444434</c:v>
                </c:pt>
                <c:pt idx="271">
                  <c:v>-220.35504444444442</c:v>
                </c:pt>
                <c:pt idx="272">
                  <c:v>-276.01059999999995</c:v>
                </c:pt>
                <c:pt idx="273">
                  <c:v>-303.31060000000002</c:v>
                </c:pt>
                <c:pt idx="274">
                  <c:v>-278.44393333333318</c:v>
                </c:pt>
                <c:pt idx="275">
                  <c:v>-254.19948888888865</c:v>
                </c:pt>
                <c:pt idx="276">
                  <c:v>-261.77726666666661</c:v>
                </c:pt>
                <c:pt idx="277">
                  <c:v>-274.64393333333328</c:v>
                </c:pt>
                <c:pt idx="278">
                  <c:v>-267.82171111111103</c:v>
                </c:pt>
                <c:pt idx="279">
                  <c:v>-236.21314444444431</c:v>
                </c:pt>
                <c:pt idx="280">
                  <c:v>-250.01314444444429</c:v>
                </c:pt>
                <c:pt idx="281">
                  <c:v>-267.06869999999992</c:v>
                </c:pt>
                <c:pt idx="282">
                  <c:v>-200.66869999999994</c:v>
                </c:pt>
                <c:pt idx="283">
                  <c:v>-190.10203333333328</c:v>
                </c:pt>
                <c:pt idx="284">
                  <c:v>-148.45758888888867</c:v>
                </c:pt>
                <c:pt idx="285">
                  <c:v>-118.83536666666654</c:v>
                </c:pt>
                <c:pt idx="286">
                  <c:v>-140.40203333333329</c:v>
                </c:pt>
                <c:pt idx="287">
                  <c:v>-162.17981111111095</c:v>
                </c:pt>
                <c:pt idx="288">
                  <c:v>-276.77124444444428</c:v>
                </c:pt>
                <c:pt idx="289">
                  <c:v>-279.37124444444441</c:v>
                </c:pt>
                <c:pt idx="290">
                  <c:v>-280.92679999999984</c:v>
                </c:pt>
                <c:pt idx="291">
                  <c:v>-251.32680000000005</c:v>
                </c:pt>
                <c:pt idx="292">
                  <c:v>-242.66013333333325</c:v>
                </c:pt>
                <c:pt idx="293">
                  <c:v>-253.01568888888886</c:v>
                </c:pt>
                <c:pt idx="294">
                  <c:v>-237.7934666666666</c:v>
                </c:pt>
                <c:pt idx="295">
                  <c:v>-300.36013333333335</c:v>
                </c:pt>
                <c:pt idx="296">
                  <c:v>-294.93791111111096</c:v>
                </c:pt>
                <c:pt idx="297">
                  <c:v>-292.92934444444438</c:v>
                </c:pt>
                <c:pt idx="298">
                  <c:v>-268.92934444444438</c:v>
                </c:pt>
                <c:pt idx="299">
                  <c:v>-261.68489999999986</c:v>
                </c:pt>
                <c:pt idx="300">
                  <c:v>-300.58490000000006</c:v>
                </c:pt>
                <c:pt idx="301">
                  <c:v>-337.21823333333322</c:v>
                </c:pt>
                <c:pt idx="302">
                  <c:v>-334.17378888888874</c:v>
                </c:pt>
                <c:pt idx="303">
                  <c:v>-324.15156666666678</c:v>
                </c:pt>
                <c:pt idx="304">
                  <c:v>-333.31823333333318</c:v>
                </c:pt>
                <c:pt idx="305">
                  <c:v>-332.19601111111098</c:v>
                </c:pt>
                <c:pt idx="306">
                  <c:v>-307.88744444444444</c:v>
                </c:pt>
                <c:pt idx="307">
                  <c:v>-331.7874444444443</c:v>
                </c:pt>
                <c:pt idx="308">
                  <c:v>-305.64299999999992</c:v>
                </c:pt>
                <c:pt idx="309">
                  <c:v>-251.14300000000003</c:v>
                </c:pt>
                <c:pt idx="310">
                  <c:v>-263.57633333333337</c:v>
                </c:pt>
                <c:pt idx="311">
                  <c:v>-327.03188888888889</c:v>
                </c:pt>
                <c:pt idx="312">
                  <c:v>-327.70966666666675</c:v>
                </c:pt>
                <c:pt idx="313">
                  <c:v>-334.97633333333329</c:v>
                </c:pt>
                <c:pt idx="314">
                  <c:v>-324.35411111111108</c:v>
                </c:pt>
                <c:pt idx="315">
                  <c:v>-321.44554444444441</c:v>
                </c:pt>
                <c:pt idx="316">
                  <c:v>-315.94554444444441</c:v>
                </c:pt>
                <c:pt idx="317">
                  <c:v>-354.00109999999984</c:v>
                </c:pt>
                <c:pt idx="318">
                  <c:v>-332.2011</c:v>
                </c:pt>
                <c:pt idx="319">
                  <c:v>-313.03443333333342</c:v>
                </c:pt>
                <c:pt idx="320">
                  <c:v>-355.08998888888885</c:v>
                </c:pt>
                <c:pt idx="321">
                  <c:v>-331.96776666666676</c:v>
                </c:pt>
                <c:pt idx="322">
                  <c:v>-305.7344333333333</c:v>
                </c:pt>
                <c:pt idx="323">
                  <c:v>-257.81221111111114</c:v>
                </c:pt>
                <c:pt idx="324">
                  <c:v>-273.90364444444447</c:v>
                </c:pt>
                <c:pt idx="325">
                  <c:v>-206.30364444444436</c:v>
                </c:pt>
                <c:pt idx="326">
                  <c:v>-193.75919999999988</c:v>
                </c:pt>
                <c:pt idx="327">
                  <c:v>-246.55919999999992</c:v>
                </c:pt>
                <c:pt idx="328">
                  <c:v>-216.59253333333339</c:v>
                </c:pt>
                <c:pt idx="329">
                  <c:v>-244.44808888888878</c:v>
                </c:pt>
                <c:pt idx="330">
                  <c:v>-219.82586666666666</c:v>
                </c:pt>
                <c:pt idx="331">
                  <c:v>-198.8925333333334</c:v>
                </c:pt>
                <c:pt idx="332">
                  <c:v>-248.77031111111097</c:v>
                </c:pt>
                <c:pt idx="333">
                  <c:v>-275.36174444444453</c:v>
                </c:pt>
                <c:pt idx="334">
                  <c:v>-315.26174444444439</c:v>
                </c:pt>
                <c:pt idx="335">
                  <c:v>-397.6173</c:v>
                </c:pt>
                <c:pt idx="336">
                  <c:v>-361.31729999999993</c:v>
                </c:pt>
                <c:pt idx="337">
                  <c:v>-340.65063333333336</c:v>
                </c:pt>
                <c:pt idx="338">
                  <c:v>-344.60618888888888</c:v>
                </c:pt>
                <c:pt idx="339">
                  <c:v>-317.38396666666665</c:v>
                </c:pt>
                <c:pt idx="340">
                  <c:v>-360.15063333333342</c:v>
                </c:pt>
                <c:pt idx="341">
                  <c:v>-380.12841111111112</c:v>
                </c:pt>
                <c:pt idx="342">
                  <c:v>-412.81984444444436</c:v>
                </c:pt>
                <c:pt idx="343">
                  <c:v>-483.81984444444436</c:v>
                </c:pt>
                <c:pt idx="344">
                  <c:v>-530.07540000000006</c:v>
                </c:pt>
                <c:pt idx="345">
                  <c:v>-503.97540000000004</c:v>
                </c:pt>
                <c:pt idx="346">
                  <c:v>-453.10873333333342</c:v>
                </c:pt>
                <c:pt idx="347">
                  <c:v>-440.9642888888888</c:v>
                </c:pt>
                <c:pt idx="348">
                  <c:v>-415.04206666666676</c:v>
                </c:pt>
                <c:pt idx="349">
                  <c:v>-476.10873333333325</c:v>
                </c:pt>
                <c:pt idx="350">
                  <c:v>-498.88651111111113</c:v>
                </c:pt>
                <c:pt idx="351">
                  <c:v>-529.87794444444455</c:v>
                </c:pt>
                <c:pt idx="352">
                  <c:v>-535.37794444444455</c:v>
                </c:pt>
                <c:pt idx="353">
                  <c:v>-587.43349999999998</c:v>
                </c:pt>
                <c:pt idx="354">
                  <c:v>-612.63350000000014</c:v>
                </c:pt>
                <c:pt idx="355">
                  <c:v>-579.26683333333335</c:v>
                </c:pt>
                <c:pt idx="356">
                  <c:v>-538.62238888888896</c:v>
                </c:pt>
                <c:pt idx="357">
                  <c:v>-597.00016666666681</c:v>
                </c:pt>
                <c:pt idx="358">
                  <c:v>-598.06683333333331</c:v>
                </c:pt>
                <c:pt idx="359">
                  <c:v>-618.84461111111113</c:v>
                </c:pt>
                <c:pt idx="360">
                  <c:v>-591.13604444444456</c:v>
                </c:pt>
                <c:pt idx="361">
                  <c:v>-509.73604444444447</c:v>
                </c:pt>
                <c:pt idx="362">
                  <c:v>-531.19159999999999</c:v>
                </c:pt>
                <c:pt idx="363">
                  <c:v>-528.69160000000011</c:v>
                </c:pt>
                <c:pt idx="364">
                  <c:v>-468.72493333333335</c:v>
                </c:pt>
                <c:pt idx="365">
                  <c:v>-464.78048888888878</c:v>
                </c:pt>
                <c:pt idx="366">
                  <c:v>-473.45826666666687</c:v>
                </c:pt>
                <c:pt idx="367">
                  <c:v>-477.72493333333341</c:v>
                </c:pt>
                <c:pt idx="368">
                  <c:v>-465.00271111111107</c:v>
                </c:pt>
                <c:pt idx="369">
                  <c:v>-484.79414444444444</c:v>
                </c:pt>
                <c:pt idx="370">
                  <c:v>-436.5941444444444</c:v>
                </c:pt>
                <c:pt idx="371">
                  <c:v>-459.74969999999996</c:v>
                </c:pt>
                <c:pt idx="372">
                  <c:v>-388.24970000000008</c:v>
                </c:pt>
                <c:pt idx="373">
                  <c:v>-377.78303333333332</c:v>
                </c:pt>
                <c:pt idx="374">
                  <c:v>-374.33858888888898</c:v>
                </c:pt>
                <c:pt idx="375">
                  <c:v>-425.01636666666684</c:v>
                </c:pt>
                <c:pt idx="376">
                  <c:v>-435.58303333333333</c:v>
                </c:pt>
                <c:pt idx="377">
                  <c:v>-469.56081111111104</c:v>
                </c:pt>
                <c:pt idx="378">
                  <c:v>-506.35224444444441</c:v>
                </c:pt>
                <c:pt idx="379">
                  <c:v>-480.35224444444441</c:v>
                </c:pt>
                <c:pt idx="380">
                  <c:v>-474.70780000000002</c:v>
                </c:pt>
                <c:pt idx="381">
                  <c:v>-365.80780000000004</c:v>
                </c:pt>
                <c:pt idx="382">
                  <c:v>-350.24113333333338</c:v>
                </c:pt>
                <c:pt idx="383">
                  <c:v>-345.09668888888899</c:v>
                </c:pt>
                <c:pt idx="384">
                  <c:v>-303.17446666666672</c:v>
                </c:pt>
                <c:pt idx="385">
                  <c:v>-321.6411333333333</c:v>
                </c:pt>
                <c:pt idx="386">
                  <c:v>-356.51891111111109</c:v>
                </c:pt>
                <c:pt idx="387">
                  <c:v>-351.21034444444456</c:v>
                </c:pt>
                <c:pt idx="388">
                  <c:v>-336.81034444444447</c:v>
                </c:pt>
                <c:pt idx="389">
                  <c:v>-348.86590000000012</c:v>
                </c:pt>
                <c:pt idx="390">
                  <c:v>-384.96590000000015</c:v>
                </c:pt>
                <c:pt idx="391">
                  <c:v>-418.09923333333353</c:v>
                </c:pt>
                <c:pt idx="392">
                  <c:v>-389.354788888889</c:v>
                </c:pt>
                <c:pt idx="393">
                  <c:v>-380.03256666666687</c:v>
                </c:pt>
                <c:pt idx="394">
                  <c:v>-394.59923333333336</c:v>
                </c:pt>
                <c:pt idx="395">
                  <c:v>-446.07701111111106</c:v>
                </c:pt>
                <c:pt idx="396">
                  <c:v>-450.26844444444453</c:v>
                </c:pt>
                <c:pt idx="397">
                  <c:v>-458.66844444444462</c:v>
                </c:pt>
                <c:pt idx="398">
                  <c:v>-433.82399999999996</c:v>
                </c:pt>
                <c:pt idx="399">
                  <c:v>-428.72400000000016</c:v>
                </c:pt>
                <c:pt idx="400">
                  <c:v>-410.55733333333336</c:v>
                </c:pt>
                <c:pt idx="401">
                  <c:v>-431.61288888888902</c:v>
                </c:pt>
                <c:pt idx="402">
                  <c:v>-459.49066666666693</c:v>
                </c:pt>
                <c:pt idx="403">
                  <c:v>-498.05733333333342</c:v>
                </c:pt>
                <c:pt idx="404">
                  <c:v>-484.33511111111108</c:v>
                </c:pt>
                <c:pt idx="405">
                  <c:v>-460.92654444444463</c:v>
                </c:pt>
                <c:pt idx="406">
                  <c:v>-496.82654444444449</c:v>
                </c:pt>
                <c:pt idx="407">
                  <c:v>-500.28210000000001</c:v>
                </c:pt>
                <c:pt idx="408">
                  <c:v>-498.18210000000022</c:v>
                </c:pt>
                <c:pt idx="409">
                  <c:v>-554.31543333333343</c:v>
                </c:pt>
                <c:pt idx="410">
                  <c:v>-572.57098888888891</c:v>
                </c:pt>
                <c:pt idx="411">
                  <c:v>-474.24876666666694</c:v>
                </c:pt>
                <c:pt idx="412">
                  <c:v>-429.31543333333343</c:v>
                </c:pt>
                <c:pt idx="413">
                  <c:v>-434.79321111111113</c:v>
                </c:pt>
                <c:pt idx="414">
                  <c:v>-437.68464444444464</c:v>
                </c:pt>
                <c:pt idx="415">
                  <c:v>-511.08464444444451</c:v>
                </c:pt>
                <c:pt idx="416">
                  <c:v>-470.94020000000012</c:v>
                </c:pt>
                <c:pt idx="417">
                  <c:v>-449.54020000000014</c:v>
                </c:pt>
                <c:pt idx="418">
                  <c:v>-359.77353333333366</c:v>
                </c:pt>
                <c:pt idx="419">
                  <c:v>-432.32908888888886</c:v>
                </c:pt>
                <c:pt idx="420">
                  <c:v>-409.40686666666704</c:v>
                </c:pt>
                <c:pt idx="421">
                  <c:v>-384.27353333333326</c:v>
                </c:pt>
                <c:pt idx="422">
                  <c:v>-390.95131111111101</c:v>
                </c:pt>
                <c:pt idx="423">
                  <c:v>-414.74274444444438</c:v>
                </c:pt>
                <c:pt idx="424">
                  <c:v>-448.24274444444438</c:v>
                </c:pt>
                <c:pt idx="425">
                  <c:v>-435.29830000000027</c:v>
                </c:pt>
                <c:pt idx="426">
                  <c:v>-430.89830000000006</c:v>
                </c:pt>
                <c:pt idx="427">
                  <c:v>-449.63163333333358</c:v>
                </c:pt>
                <c:pt idx="428">
                  <c:v>-459.38718888888906</c:v>
                </c:pt>
                <c:pt idx="429">
                  <c:v>-420.46496666666678</c:v>
                </c:pt>
                <c:pt idx="430">
                  <c:v>-443.73163333333355</c:v>
                </c:pt>
                <c:pt idx="431">
                  <c:v>-468.10941111111111</c:v>
                </c:pt>
                <c:pt idx="432">
                  <c:v>-446.5008444444444</c:v>
                </c:pt>
                <c:pt idx="433">
                  <c:v>-411.30084444444458</c:v>
                </c:pt>
                <c:pt idx="434">
                  <c:v>-327.95639999999992</c:v>
                </c:pt>
                <c:pt idx="435">
                  <c:v>-348.45640000000026</c:v>
                </c:pt>
                <c:pt idx="436">
                  <c:v>-345.8897333333336</c:v>
                </c:pt>
                <c:pt idx="437">
                  <c:v>-266.34528888888889</c:v>
                </c:pt>
                <c:pt idx="438">
                  <c:v>-156.52306666666695</c:v>
                </c:pt>
                <c:pt idx="439">
                  <c:v>-135.28973333333329</c:v>
                </c:pt>
                <c:pt idx="440">
                  <c:v>-105.16751111111131</c:v>
                </c:pt>
                <c:pt idx="441">
                  <c:v>-175.75894444444441</c:v>
                </c:pt>
                <c:pt idx="442">
                  <c:v>-225.95894444444471</c:v>
                </c:pt>
                <c:pt idx="443">
                  <c:v>-165.81450000000032</c:v>
                </c:pt>
                <c:pt idx="444">
                  <c:v>-120.41450000000009</c:v>
                </c:pt>
                <c:pt idx="445">
                  <c:v>-199.84783333333343</c:v>
                </c:pt>
                <c:pt idx="446">
                  <c:v>-185.50338888888899</c:v>
                </c:pt>
                <c:pt idx="447">
                  <c:v>-204.78116666666696</c:v>
                </c:pt>
                <c:pt idx="448">
                  <c:v>-188.94783333333339</c:v>
                </c:pt>
                <c:pt idx="449">
                  <c:v>-216.62561111111114</c:v>
                </c:pt>
                <c:pt idx="450">
                  <c:v>-211.8170444444446</c:v>
                </c:pt>
                <c:pt idx="451">
                  <c:v>-164.71704444444472</c:v>
                </c:pt>
                <c:pt idx="452">
                  <c:v>-148.27260000000015</c:v>
                </c:pt>
                <c:pt idx="453">
                  <c:v>-167.07260000000019</c:v>
                </c:pt>
                <c:pt idx="454">
                  <c:v>-181.50593333333353</c:v>
                </c:pt>
                <c:pt idx="455">
                  <c:v>-113.46148888888882</c:v>
                </c:pt>
                <c:pt idx="456">
                  <c:v>-108.23926666666679</c:v>
                </c:pt>
                <c:pt idx="457">
                  <c:v>-52.305933333333314</c:v>
                </c:pt>
                <c:pt idx="458">
                  <c:v>-53.483711111111063</c:v>
                </c:pt>
                <c:pt idx="459">
                  <c:v>-75.975144444444709</c:v>
                </c:pt>
                <c:pt idx="460">
                  <c:v>-101.87514444444483</c:v>
                </c:pt>
                <c:pt idx="461">
                  <c:v>-22.930700000000257</c:v>
                </c:pt>
                <c:pt idx="462">
                  <c:v>15.269299999999703</c:v>
                </c:pt>
                <c:pt idx="463">
                  <c:v>52.835966666666366</c:v>
                </c:pt>
                <c:pt idx="464">
                  <c:v>55.280411111111164</c:v>
                </c:pt>
                <c:pt idx="465">
                  <c:v>65.402633333333284</c:v>
                </c:pt>
                <c:pt idx="466">
                  <c:v>110.63596666666649</c:v>
                </c:pt>
                <c:pt idx="467">
                  <c:v>113.15818888888856</c:v>
                </c:pt>
                <c:pt idx="468">
                  <c:v>116.36675555555519</c:v>
                </c:pt>
                <c:pt idx="469">
                  <c:v>62.866755555555159</c:v>
                </c:pt>
                <c:pt idx="470">
                  <c:v>-69.188800000000271</c:v>
                </c:pt>
                <c:pt idx="471">
                  <c:v>76.311199999999872</c:v>
                </c:pt>
                <c:pt idx="472">
                  <c:v>36.477866666666444</c:v>
                </c:pt>
                <c:pt idx="473">
                  <c:v>17.822311111110878</c:v>
                </c:pt>
                <c:pt idx="474">
                  <c:v>22.24453333333318</c:v>
                </c:pt>
                <c:pt idx="475">
                  <c:v>-16.122133333333522</c:v>
                </c:pt>
                <c:pt idx="476">
                  <c:v>-39.89991111111118</c:v>
                </c:pt>
                <c:pt idx="477">
                  <c:v>-7.391344444444826</c:v>
                </c:pt>
                <c:pt idx="478">
                  <c:v>55.908655555555328</c:v>
                </c:pt>
                <c:pt idx="479">
                  <c:v>81.053099999999716</c:v>
                </c:pt>
                <c:pt idx="480">
                  <c:v>114.85309999999959</c:v>
                </c:pt>
                <c:pt idx="481">
                  <c:v>161.21976666666643</c:v>
                </c:pt>
                <c:pt idx="482">
                  <c:v>216.56421111111086</c:v>
                </c:pt>
                <c:pt idx="483">
                  <c:v>219.48643333333317</c:v>
                </c:pt>
                <c:pt idx="484">
                  <c:v>262.61976666666646</c:v>
                </c:pt>
                <c:pt idx="485">
                  <c:v>160.94198888888872</c:v>
                </c:pt>
                <c:pt idx="486">
                  <c:v>251.55055555555543</c:v>
                </c:pt>
                <c:pt idx="487">
                  <c:v>311.75055555555525</c:v>
                </c:pt>
                <c:pt idx="488">
                  <c:v>324.69499999999982</c:v>
                </c:pt>
                <c:pt idx="489">
                  <c:v>407.19499999999994</c:v>
                </c:pt>
                <c:pt idx="490">
                  <c:v>332.36166666666651</c:v>
                </c:pt>
                <c:pt idx="491">
                  <c:v>529.70611111111089</c:v>
                </c:pt>
                <c:pt idx="492">
                  <c:v>614.62833333333322</c:v>
                </c:pt>
                <c:pt idx="493">
                  <c:v>576.36166666666645</c:v>
                </c:pt>
                <c:pt idx="494">
                  <c:v>554.88388888888858</c:v>
                </c:pt>
                <c:pt idx="495">
                  <c:v>636.69245555555551</c:v>
                </c:pt>
                <c:pt idx="496">
                  <c:v>468.09245555555515</c:v>
                </c:pt>
                <c:pt idx="497">
                  <c:v>640.23689999999999</c:v>
                </c:pt>
                <c:pt idx="498">
                  <c:v>579.03689999999983</c:v>
                </c:pt>
                <c:pt idx="499">
                  <c:v>599.80356666666626</c:v>
                </c:pt>
                <c:pt idx="500">
                  <c:v>708.54801111111078</c:v>
                </c:pt>
                <c:pt idx="501">
                  <c:v>643.47023333333311</c:v>
                </c:pt>
                <c:pt idx="502">
                  <c:v>551.20356666666635</c:v>
                </c:pt>
                <c:pt idx="503">
                  <c:v>652.72578888888893</c:v>
                </c:pt>
                <c:pt idx="504">
                  <c:v>656.63435555555532</c:v>
                </c:pt>
                <c:pt idx="505">
                  <c:v>639.53435555555541</c:v>
                </c:pt>
                <c:pt idx="506">
                  <c:v>611.27879999999971</c:v>
                </c:pt>
                <c:pt idx="507">
                  <c:v>634.17879999999991</c:v>
                </c:pt>
                <c:pt idx="508">
                  <c:v>729.74546666666652</c:v>
                </c:pt>
                <c:pt idx="509">
                  <c:v>611.08991111111095</c:v>
                </c:pt>
                <c:pt idx="510">
                  <c:v>648.61213333333319</c:v>
                </c:pt>
                <c:pt idx="511">
                  <c:v>750.44546666666633</c:v>
                </c:pt>
              </c:numCache>
            </c:numRef>
          </c:yVal>
          <c:smooth val="1"/>
          <c:extLst>
            <c:ext xmlns:c16="http://schemas.microsoft.com/office/drawing/2014/chart" uri="{C3380CC4-5D6E-409C-BE32-E72D297353CC}">
              <c16:uniqueId val="{00000000-D920-4293-9E38-96A9A9464145}"/>
            </c:ext>
          </c:extLst>
        </c:ser>
        <c:dLbls>
          <c:showLegendKey val="0"/>
          <c:showVal val="0"/>
          <c:showCatName val="0"/>
          <c:showSerName val="0"/>
          <c:showPercent val="0"/>
          <c:showBubbleSize val="0"/>
        </c:dLbls>
        <c:axId val="39632880"/>
        <c:axId val="39644400"/>
      </c:scatterChart>
      <c:valAx>
        <c:axId val="396328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9644400"/>
        <c:crosses val="autoZero"/>
        <c:crossBetween val="midCat"/>
      </c:valAx>
      <c:valAx>
        <c:axId val="3964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9632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Κατανομή συχνοτήτων των πρώτων διαφορών</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barChart>
        <c:barDir val="col"/>
        <c:grouping val="clustered"/>
        <c:varyColors val="0"/>
        <c:ser>
          <c:idx val="0"/>
          <c:order val="0"/>
          <c:spPr>
            <a:solidFill>
              <a:schemeClr val="accent1"/>
            </a:solidFill>
            <a:ln>
              <a:noFill/>
            </a:ln>
            <a:effectLst/>
          </c:spPr>
          <c:invertIfNegative val="0"/>
          <c:cat>
            <c:numRef>
              <c:f>'Gold Futures Historical Data'!$Y$118:$Y$123</c:f>
              <c:numCache>
                <c:formatCode>General</c:formatCode>
                <c:ptCount val="6"/>
                <c:pt idx="0">
                  <c:v>-12.5</c:v>
                </c:pt>
                <c:pt idx="1">
                  <c:v>-7.5</c:v>
                </c:pt>
                <c:pt idx="2">
                  <c:v>-2.5</c:v>
                </c:pt>
                <c:pt idx="3">
                  <c:v>2.5</c:v>
                </c:pt>
                <c:pt idx="4">
                  <c:v>7.5</c:v>
                </c:pt>
                <c:pt idx="5">
                  <c:v>12.5</c:v>
                </c:pt>
              </c:numCache>
            </c:numRef>
          </c:cat>
          <c:val>
            <c:numRef>
              <c:f>'Gold Futures Historical Data'!$X$118:$X$123</c:f>
              <c:numCache>
                <c:formatCode>General</c:formatCode>
                <c:ptCount val="6"/>
                <c:pt idx="0">
                  <c:v>1</c:v>
                </c:pt>
                <c:pt idx="1">
                  <c:v>5</c:v>
                </c:pt>
                <c:pt idx="2">
                  <c:v>216</c:v>
                </c:pt>
                <c:pt idx="3">
                  <c:v>280</c:v>
                </c:pt>
                <c:pt idx="4">
                  <c:v>8</c:v>
                </c:pt>
                <c:pt idx="5">
                  <c:v>1</c:v>
                </c:pt>
              </c:numCache>
            </c:numRef>
          </c:val>
          <c:extLst>
            <c:ext xmlns:c16="http://schemas.microsoft.com/office/drawing/2014/chart" uri="{C3380CC4-5D6E-409C-BE32-E72D297353CC}">
              <c16:uniqueId val="{00000000-EC51-4B48-B40A-D2530545BC92}"/>
            </c:ext>
          </c:extLst>
        </c:ser>
        <c:dLbls>
          <c:showLegendKey val="0"/>
          <c:showVal val="0"/>
          <c:showCatName val="0"/>
          <c:showSerName val="0"/>
          <c:showPercent val="0"/>
          <c:showBubbleSize val="0"/>
        </c:dLbls>
        <c:gapWidth val="219"/>
        <c:overlap val="-27"/>
        <c:axId val="508834848"/>
        <c:axId val="508818528"/>
      </c:barChart>
      <c:catAx>
        <c:axId val="5088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8818528"/>
        <c:crosses val="autoZero"/>
        <c:auto val="1"/>
        <c:lblAlgn val="ctr"/>
        <c:lblOffset val="100"/>
        <c:noMultiLvlLbl val="0"/>
      </c:catAx>
      <c:valAx>
        <c:axId val="50881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883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Εποχικότητα</a:t>
            </a:r>
            <a:r>
              <a:rPr lang="el-GR" baseline="0"/>
              <a:t> σε βάθος 512 βδομάδων</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manualLayout>
          <c:layoutTarget val="inner"/>
          <c:xMode val="edge"/>
          <c:yMode val="edge"/>
          <c:x val="1.3859180163412687E-2"/>
          <c:y val="0.12728018372703409"/>
          <c:w val="0.98178691869685819"/>
          <c:h val="0.72088764946048411"/>
        </c:manualLayout>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'Gold Futures Historical Data'!$H$2:$H$513</c:f>
              <c:numCache>
                <c:formatCode>General</c:formatCode>
                <c:ptCount val="512"/>
                <c:pt idx="0">
                  <c:v>175.60114444444446</c:v>
                </c:pt>
                <c:pt idx="1">
                  <c:v>183.85024444444448</c:v>
                </c:pt>
                <c:pt idx="2">
                  <c:v>187.5549</c:v>
                </c:pt>
                <c:pt idx="3">
                  <c:v>181.60400000000004</c:v>
                </c:pt>
                <c:pt idx="4">
                  <c:v>174.28643333333338</c:v>
                </c:pt>
                <c:pt idx="5">
                  <c:v>168.29108888888885</c:v>
                </c:pt>
                <c:pt idx="6">
                  <c:v>163.41796666666673</c:v>
                </c:pt>
                <c:pt idx="7">
                  <c:v>168.63373333333334</c:v>
                </c:pt>
                <c:pt idx="8">
                  <c:v>175.06061111111109</c:v>
                </c:pt>
                <c:pt idx="9">
                  <c:v>175.60114444444446</c:v>
                </c:pt>
                <c:pt idx="10">
                  <c:v>183.85024444444448</c:v>
                </c:pt>
                <c:pt idx="11">
                  <c:v>187.5549</c:v>
                </c:pt>
                <c:pt idx="12">
                  <c:v>181.60400000000004</c:v>
                </c:pt>
                <c:pt idx="13">
                  <c:v>174.28643333333338</c:v>
                </c:pt>
                <c:pt idx="14">
                  <c:v>168.29108888888885</c:v>
                </c:pt>
                <c:pt idx="15">
                  <c:v>163.41796666666673</c:v>
                </c:pt>
                <c:pt idx="16">
                  <c:v>168.63373333333334</c:v>
                </c:pt>
                <c:pt idx="17">
                  <c:v>175.06061111111109</c:v>
                </c:pt>
                <c:pt idx="18">
                  <c:v>175.60114444444446</c:v>
                </c:pt>
                <c:pt idx="19">
                  <c:v>183.85024444444448</c:v>
                </c:pt>
                <c:pt idx="20">
                  <c:v>187.5549</c:v>
                </c:pt>
                <c:pt idx="21">
                  <c:v>181.60400000000004</c:v>
                </c:pt>
                <c:pt idx="22">
                  <c:v>174.28643333333338</c:v>
                </c:pt>
                <c:pt idx="23">
                  <c:v>168.29108888888885</c:v>
                </c:pt>
                <c:pt idx="24">
                  <c:v>163.41796666666673</c:v>
                </c:pt>
                <c:pt idx="25">
                  <c:v>168.63373333333334</c:v>
                </c:pt>
                <c:pt idx="26">
                  <c:v>175.06061111111109</c:v>
                </c:pt>
                <c:pt idx="27">
                  <c:v>175.60114444444446</c:v>
                </c:pt>
                <c:pt idx="28">
                  <c:v>183.85024444444448</c:v>
                </c:pt>
                <c:pt idx="29">
                  <c:v>187.5549</c:v>
                </c:pt>
                <c:pt idx="30">
                  <c:v>181.60400000000004</c:v>
                </c:pt>
                <c:pt idx="31">
                  <c:v>174.28643333333338</c:v>
                </c:pt>
                <c:pt idx="32">
                  <c:v>168.29108888888885</c:v>
                </c:pt>
                <c:pt idx="33">
                  <c:v>163.41796666666673</c:v>
                </c:pt>
                <c:pt idx="34">
                  <c:v>168.63373333333334</c:v>
                </c:pt>
                <c:pt idx="35">
                  <c:v>175.06061111111109</c:v>
                </c:pt>
                <c:pt idx="36">
                  <c:v>175.60114444444446</c:v>
                </c:pt>
                <c:pt idx="37">
                  <c:v>183.85024444444448</c:v>
                </c:pt>
                <c:pt idx="38">
                  <c:v>187.5549</c:v>
                </c:pt>
                <c:pt idx="39">
                  <c:v>181.60400000000004</c:v>
                </c:pt>
                <c:pt idx="40">
                  <c:v>174.28643333333338</c:v>
                </c:pt>
                <c:pt idx="41">
                  <c:v>168.29108888888885</c:v>
                </c:pt>
                <c:pt idx="42">
                  <c:v>163.41796666666673</c:v>
                </c:pt>
                <c:pt idx="43">
                  <c:v>168.63373333333334</c:v>
                </c:pt>
                <c:pt idx="44">
                  <c:v>175.06061111111109</c:v>
                </c:pt>
                <c:pt idx="45">
                  <c:v>175.60114444444446</c:v>
                </c:pt>
                <c:pt idx="46">
                  <c:v>183.85024444444448</c:v>
                </c:pt>
                <c:pt idx="47">
                  <c:v>187.5549</c:v>
                </c:pt>
                <c:pt idx="48">
                  <c:v>181.60400000000004</c:v>
                </c:pt>
                <c:pt idx="49">
                  <c:v>174.28643333333338</c:v>
                </c:pt>
                <c:pt idx="50">
                  <c:v>168.29108888888885</c:v>
                </c:pt>
                <c:pt idx="51">
                  <c:v>163.41796666666673</c:v>
                </c:pt>
                <c:pt idx="52">
                  <c:v>168.63373333333334</c:v>
                </c:pt>
                <c:pt idx="53">
                  <c:v>175.06061111111109</c:v>
                </c:pt>
                <c:pt idx="54">
                  <c:v>175.60114444444446</c:v>
                </c:pt>
                <c:pt idx="55">
                  <c:v>183.85024444444448</c:v>
                </c:pt>
                <c:pt idx="56">
                  <c:v>187.5549</c:v>
                </c:pt>
                <c:pt idx="57">
                  <c:v>181.60400000000004</c:v>
                </c:pt>
                <c:pt idx="58">
                  <c:v>174.28643333333338</c:v>
                </c:pt>
                <c:pt idx="59">
                  <c:v>168.29108888888885</c:v>
                </c:pt>
                <c:pt idx="60">
                  <c:v>163.41796666666673</c:v>
                </c:pt>
                <c:pt idx="61">
                  <c:v>168.63373333333334</c:v>
                </c:pt>
                <c:pt idx="62">
                  <c:v>175.06061111111109</c:v>
                </c:pt>
                <c:pt idx="63">
                  <c:v>175.60114444444446</c:v>
                </c:pt>
                <c:pt idx="64">
                  <c:v>183.85024444444448</c:v>
                </c:pt>
                <c:pt idx="65">
                  <c:v>187.5549</c:v>
                </c:pt>
                <c:pt idx="66">
                  <c:v>181.60400000000004</c:v>
                </c:pt>
                <c:pt idx="67">
                  <c:v>174.28643333333338</c:v>
                </c:pt>
                <c:pt idx="68">
                  <c:v>168.29108888888885</c:v>
                </c:pt>
                <c:pt idx="69">
                  <c:v>163.41796666666673</c:v>
                </c:pt>
                <c:pt idx="70">
                  <c:v>168.63373333333334</c:v>
                </c:pt>
                <c:pt idx="71">
                  <c:v>175.06061111111109</c:v>
                </c:pt>
                <c:pt idx="72">
                  <c:v>175.60114444444446</c:v>
                </c:pt>
                <c:pt idx="73">
                  <c:v>183.85024444444448</c:v>
                </c:pt>
                <c:pt idx="74">
                  <c:v>187.5549</c:v>
                </c:pt>
                <c:pt idx="75">
                  <c:v>181.60400000000004</c:v>
                </c:pt>
                <c:pt idx="76">
                  <c:v>174.28643333333338</c:v>
                </c:pt>
                <c:pt idx="77">
                  <c:v>168.29108888888885</c:v>
                </c:pt>
                <c:pt idx="78">
                  <c:v>163.41796666666673</c:v>
                </c:pt>
                <c:pt idx="79">
                  <c:v>168.63373333333334</c:v>
                </c:pt>
                <c:pt idx="80">
                  <c:v>175.06061111111109</c:v>
                </c:pt>
                <c:pt idx="81">
                  <c:v>175.60114444444446</c:v>
                </c:pt>
                <c:pt idx="82">
                  <c:v>183.85024444444448</c:v>
                </c:pt>
                <c:pt idx="83">
                  <c:v>187.5549</c:v>
                </c:pt>
                <c:pt idx="84">
                  <c:v>181.60400000000004</c:v>
                </c:pt>
                <c:pt idx="85">
                  <c:v>174.28643333333338</c:v>
                </c:pt>
                <c:pt idx="86">
                  <c:v>168.29108888888885</c:v>
                </c:pt>
                <c:pt idx="87">
                  <c:v>163.41796666666673</c:v>
                </c:pt>
                <c:pt idx="88">
                  <c:v>168.63373333333334</c:v>
                </c:pt>
                <c:pt idx="89">
                  <c:v>175.06061111111109</c:v>
                </c:pt>
                <c:pt idx="90">
                  <c:v>175.60114444444446</c:v>
                </c:pt>
                <c:pt idx="91">
                  <c:v>183.85024444444448</c:v>
                </c:pt>
                <c:pt idx="92">
                  <c:v>187.5549</c:v>
                </c:pt>
                <c:pt idx="93">
                  <c:v>181.60400000000004</c:v>
                </c:pt>
                <c:pt idx="94">
                  <c:v>174.28643333333338</c:v>
                </c:pt>
                <c:pt idx="95">
                  <c:v>168.29108888888885</c:v>
                </c:pt>
                <c:pt idx="96">
                  <c:v>163.41796666666673</c:v>
                </c:pt>
                <c:pt idx="97">
                  <c:v>168.63373333333334</c:v>
                </c:pt>
                <c:pt idx="98">
                  <c:v>175.06061111111109</c:v>
                </c:pt>
                <c:pt idx="99">
                  <c:v>175.60114444444446</c:v>
                </c:pt>
                <c:pt idx="100">
                  <c:v>183.85024444444448</c:v>
                </c:pt>
                <c:pt idx="101">
                  <c:v>187.5549</c:v>
                </c:pt>
                <c:pt idx="102">
                  <c:v>181.60400000000004</c:v>
                </c:pt>
                <c:pt idx="103">
                  <c:v>174.28643333333338</c:v>
                </c:pt>
                <c:pt idx="104">
                  <c:v>168.29108888888885</c:v>
                </c:pt>
                <c:pt idx="105">
                  <c:v>163.41796666666673</c:v>
                </c:pt>
                <c:pt idx="106">
                  <c:v>168.63373333333334</c:v>
                </c:pt>
                <c:pt idx="107">
                  <c:v>175.06061111111109</c:v>
                </c:pt>
                <c:pt idx="108">
                  <c:v>175.60114444444446</c:v>
                </c:pt>
                <c:pt idx="109">
                  <c:v>183.85024444444448</c:v>
                </c:pt>
                <c:pt idx="110">
                  <c:v>187.5549</c:v>
                </c:pt>
                <c:pt idx="111">
                  <c:v>181.60400000000004</c:v>
                </c:pt>
                <c:pt idx="112">
                  <c:v>174.28643333333338</c:v>
                </c:pt>
                <c:pt idx="113">
                  <c:v>168.29108888888885</c:v>
                </c:pt>
                <c:pt idx="114">
                  <c:v>163.41796666666673</c:v>
                </c:pt>
                <c:pt idx="115">
                  <c:v>168.63373333333334</c:v>
                </c:pt>
                <c:pt idx="116">
                  <c:v>175.06061111111109</c:v>
                </c:pt>
                <c:pt idx="117">
                  <c:v>175.60114444444446</c:v>
                </c:pt>
                <c:pt idx="118">
                  <c:v>183.85024444444448</c:v>
                </c:pt>
                <c:pt idx="119">
                  <c:v>187.5549</c:v>
                </c:pt>
                <c:pt idx="120">
                  <c:v>181.60400000000004</c:v>
                </c:pt>
                <c:pt idx="121">
                  <c:v>174.28643333333338</c:v>
                </c:pt>
                <c:pt idx="122">
                  <c:v>168.29108888888885</c:v>
                </c:pt>
                <c:pt idx="123">
                  <c:v>163.41796666666673</c:v>
                </c:pt>
                <c:pt idx="124">
                  <c:v>168.63373333333334</c:v>
                </c:pt>
                <c:pt idx="125">
                  <c:v>175.06061111111109</c:v>
                </c:pt>
                <c:pt idx="126">
                  <c:v>175.60114444444446</c:v>
                </c:pt>
                <c:pt idx="127">
                  <c:v>183.85024444444448</c:v>
                </c:pt>
                <c:pt idx="128">
                  <c:v>187.5549</c:v>
                </c:pt>
                <c:pt idx="129">
                  <c:v>181.60400000000004</c:v>
                </c:pt>
                <c:pt idx="130">
                  <c:v>174.28643333333338</c:v>
                </c:pt>
                <c:pt idx="131">
                  <c:v>168.29108888888885</c:v>
                </c:pt>
                <c:pt idx="132">
                  <c:v>163.41796666666673</c:v>
                </c:pt>
                <c:pt idx="133">
                  <c:v>168.63373333333334</c:v>
                </c:pt>
                <c:pt idx="134">
                  <c:v>175.06061111111109</c:v>
                </c:pt>
                <c:pt idx="135">
                  <c:v>175.60114444444446</c:v>
                </c:pt>
                <c:pt idx="136">
                  <c:v>183.85024444444448</c:v>
                </c:pt>
                <c:pt idx="137">
                  <c:v>187.5549</c:v>
                </c:pt>
                <c:pt idx="138">
                  <c:v>181.60400000000004</c:v>
                </c:pt>
                <c:pt idx="139">
                  <c:v>174.28643333333338</c:v>
                </c:pt>
                <c:pt idx="140">
                  <c:v>168.29108888888885</c:v>
                </c:pt>
                <c:pt idx="141">
                  <c:v>163.41796666666673</c:v>
                </c:pt>
                <c:pt idx="142">
                  <c:v>168.63373333333334</c:v>
                </c:pt>
                <c:pt idx="143">
                  <c:v>175.06061111111109</c:v>
                </c:pt>
                <c:pt idx="144">
                  <c:v>175.60114444444446</c:v>
                </c:pt>
                <c:pt idx="145">
                  <c:v>183.85024444444448</c:v>
                </c:pt>
                <c:pt idx="146">
                  <c:v>187.5549</c:v>
                </c:pt>
                <c:pt idx="147">
                  <c:v>181.60400000000004</c:v>
                </c:pt>
                <c:pt idx="148">
                  <c:v>174.28643333333338</c:v>
                </c:pt>
                <c:pt idx="149">
                  <c:v>168.29108888888885</c:v>
                </c:pt>
                <c:pt idx="150">
                  <c:v>163.41796666666673</c:v>
                </c:pt>
                <c:pt idx="151">
                  <c:v>168.63373333333334</c:v>
                </c:pt>
                <c:pt idx="152">
                  <c:v>175.06061111111109</c:v>
                </c:pt>
                <c:pt idx="153">
                  <c:v>175.60114444444446</c:v>
                </c:pt>
                <c:pt idx="154">
                  <c:v>183.85024444444448</c:v>
                </c:pt>
                <c:pt idx="155">
                  <c:v>187.5549</c:v>
                </c:pt>
                <c:pt idx="156">
                  <c:v>181.60400000000004</c:v>
                </c:pt>
                <c:pt idx="157">
                  <c:v>174.28643333333338</c:v>
                </c:pt>
                <c:pt idx="158">
                  <c:v>168.29108888888885</c:v>
                </c:pt>
                <c:pt idx="159">
                  <c:v>163.41796666666673</c:v>
                </c:pt>
                <c:pt idx="160">
                  <c:v>168.63373333333334</c:v>
                </c:pt>
                <c:pt idx="161">
                  <c:v>175.06061111111109</c:v>
                </c:pt>
                <c:pt idx="162">
                  <c:v>175.60114444444446</c:v>
                </c:pt>
                <c:pt idx="163">
                  <c:v>183.85024444444448</c:v>
                </c:pt>
                <c:pt idx="164">
                  <c:v>187.5549</c:v>
                </c:pt>
                <c:pt idx="165">
                  <c:v>181.60400000000004</c:v>
                </c:pt>
                <c:pt idx="166">
                  <c:v>174.28643333333338</c:v>
                </c:pt>
                <c:pt idx="167">
                  <c:v>168.29108888888885</c:v>
                </c:pt>
                <c:pt idx="168">
                  <c:v>163.41796666666673</c:v>
                </c:pt>
                <c:pt idx="169">
                  <c:v>168.63373333333334</c:v>
                </c:pt>
                <c:pt idx="170">
                  <c:v>175.06061111111109</c:v>
                </c:pt>
                <c:pt idx="171">
                  <c:v>175.60114444444446</c:v>
                </c:pt>
                <c:pt idx="172">
                  <c:v>183.85024444444448</c:v>
                </c:pt>
                <c:pt idx="173">
                  <c:v>187.5549</c:v>
                </c:pt>
                <c:pt idx="174">
                  <c:v>181.60400000000004</c:v>
                </c:pt>
                <c:pt idx="175">
                  <c:v>174.28643333333338</c:v>
                </c:pt>
                <c:pt idx="176">
                  <c:v>168.29108888888885</c:v>
                </c:pt>
                <c:pt idx="177">
                  <c:v>163.41796666666673</c:v>
                </c:pt>
                <c:pt idx="178">
                  <c:v>168.63373333333334</c:v>
                </c:pt>
                <c:pt idx="179">
                  <c:v>175.06061111111109</c:v>
                </c:pt>
                <c:pt idx="180">
                  <c:v>175.60114444444446</c:v>
                </c:pt>
                <c:pt idx="181">
                  <c:v>183.85024444444448</c:v>
                </c:pt>
                <c:pt idx="182">
                  <c:v>187.5549</c:v>
                </c:pt>
                <c:pt idx="183">
                  <c:v>181.60400000000004</c:v>
                </c:pt>
                <c:pt idx="184">
                  <c:v>174.28643333333338</c:v>
                </c:pt>
                <c:pt idx="185">
                  <c:v>168.29108888888885</c:v>
                </c:pt>
                <c:pt idx="186">
                  <c:v>163.41796666666673</c:v>
                </c:pt>
                <c:pt idx="187">
                  <c:v>168.63373333333334</c:v>
                </c:pt>
                <c:pt idx="188">
                  <c:v>175.06061111111109</c:v>
                </c:pt>
                <c:pt idx="189">
                  <c:v>175.60114444444446</c:v>
                </c:pt>
                <c:pt idx="190">
                  <c:v>183.85024444444448</c:v>
                </c:pt>
                <c:pt idx="191">
                  <c:v>187.5549</c:v>
                </c:pt>
                <c:pt idx="192">
                  <c:v>181.60400000000004</c:v>
                </c:pt>
                <c:pt idx="193">
                  <c:v>174.28643333333338</c:v>
                </c:pt>
                <c:pt idx="194">
                  <c:v>168.29108888888885</c:v>
                </c:pt>
                <c:pt idx="195">
                  <c:v>163.41796666666673</c:v>
                </c:pt>
                <c:pt idx="196">
                  <c:v>168.63373333333334</c:v>
                </c:pt>
                <c:pt idx="197">
                  <c:v>175.06061111111109</c:v>
                </c:pt>
                <c:pt idx="198">
                  <c:v>175.60114444444446</c:v>
                </c:pt>
                <c:pt idx="199">
                  <c:v>183.85024444444448</c:v>
                </c:pt>
                <c:pt idx="200">
                  <c:v>187.5549</c:v>
                </c:pt>
                <c:pt idx="201">
                  <c:v>181.60400000000004</c:v>
                </c:pt>
                <c:pt idx="202">
                  <c:v>174.28643333333338</c:v>
                </c:pt>
                <c:pt idx="203">
                  <c:v>168.29108888888885</c:v>
                </c:pt>
                <c:pt idx="204">
                  <c:v>163.41796666666673</c:v>
                </c:pt>
                <c:pt idx="205">
                  <c:v>168.63373333333334</c:v>
                </c:pt>
                <c:pt idx="206">
                  <c:v>175.06061111111109</c:v>
                </c:pt>
                <c:pt idx="207">
                  <c:v>175.60114444444446</c:v>
                </c:pt>
                <c:pt idx="208">
                  <c:v>183.85024444444448</c:v>
                </c:pt>
                <c:pt idx="209">
                  <c:v>187.5549</c:v>
                </c:pt>
                <c:pt idx="210">
                  <c:v>181.60400000000004</c:v>
                </c:pt>
                <c:pt idx="211">
                  <c:v>174.28643333333338</c:v>
                </c:pt>
                <c:pt idx="212">
                  <c:v>168.29108888888885</c:v>
                </c:pt>
                <c:pt idx="213">
                  <c:v>163.41796666666673</c:v>
                </c:pt>
                <c:pt idx="214">
                  <c:v>168.63373333333334</c:v>
                </c:pt>
                <c:pt idx="215">
                  <c:v>175.06061111111109</c:v>
                </c:pt>
                <c:pt idx="216">
                  <c:v>175.60114444444446</c:v>
                </c:pt>
                <c:pt idx="217">
                  <c:v>183.85024444444448</c:v>
                </c:pt>
                <c:pt idx="218">
                  <c:v>187.5549</c:v>
                </c:pt>
                <c:pt idx="219">
                  <c:v>181.60400000000004</c:v>
                </c:pt>
                <c:pt idx="220">
                  <c:v>174.28643333333338</c:v>
                </c:pt>
                <c:pt idx="221">
                  <c:v>168.29108888888885</c:v>
                </c:pt>
                <c:pt idx="222">
                  <c:v>163.41796666666673</c:v>
                </c:pt>
                <c:pt idx="223">
                  <c:v>168.63373333333334</c:v>
                </c:pt>
                <c:pt idx="224">
                  <c:v>175.06061111111109</c:v>
                </c:pt>
                <c:pt idx="225">
                  <c:v>175.60114444444446</c:v>
                </c:pt>
                <c:pt idx="226">
                  <c:v>183.85024444444448</c:v>
                </c:pt>
                <c:pt idx="227">
                  <c:v>187.5549</c:v>
                </c:pt>
                <c:pt idx="228">
                  <c:v>181.60400000000004</c:v>
                </c:pt>
                <c:pt idx="229">
                  <c:v>174.28643333333338</c:v>
                </c:pt>
                <c:pt idx="230">
                  <c:v>168.29108888888885</c:v>
                </c:pt>
                <c:pt idx="231">
                  <c:v>163.41796666666673</c:v>
                </c:pt>
                <c:pt idx="232">
                  <c:v>168.63373333333334</c:v>
                </c:pt>
                <c:pt idx="233">
                  <c:v>175.06061111111109</c:v>
                </c:pt>
                <c:pt idx="234">
                  <c:v>175.60114444444446</c:v>
                </c:pt>
                <c:pt idx="235">
                  <c:v>183.85024444444448</c:v>
                </c:pt>
                <c:pt idx="236">
                  <c:v>187.5549</c:v>
                </c:pt>
                <c:pt idx="237">
                  <c:v>181.60400000000004</c:v>
                </c:pt>
                <c:pt idx="238">
                  <c:v>174.28643333333338</c:v>
                </c:pt>
                <c:pt idx="239">
                  <c:v>168.29108888888885</c:v>
                </c:pt>
                <c:pt idx="240">
                  <c:v>163.41796666666673</c:v>
                </c:pt>
                <c:pt idx="241">
                  <c:v>168.63373333333334</c:v>
                </c:pt>
                <c:pt idx="242">
                  <c:v>175.06061111111109</c:v>
                </c:pt>
                <c:pt idx="243">
                  <c:v>175.60114444444446</c:v>
                </c:pt>
                <c:pt idx="244">
                  <c:v>183.85024444444448</c:v>
                </c:pt>
                <c:pt idx="245">
                  <c:v>187.5549</c:v>
                </c:pt>
                <c:pt idx="246">
                  <c:v>181.60400000000004</c:v>
                </c:pt>
                <c:pt idx="247">
                  <c:v>174.28643333333338</c:v>
                </c:pt>
                <c:pt idx="248">
                  <c:v>168.29108888888885</c:v>
                </c:pt>
                <c:pt idx="249">
                  <c:v>163.41796666666673</c:v>
                </c:pt>
                <c:pt idx="250">
                  <c:v>168.63373333333334</c:v>
                </c:pt>
                <c:pt idx="251">
                  <c:v>175.06061111111109</c:v>
                </c:pt>
                <c:pt idx="252">
                  <c:v>175.60114444444446</c:v>
                </c:pt>
                <c:pt idx="253">
                  <c:v>183.85024444444448</c:v>
                </c:pt>
                <c:pt idx="254">
                  <c:v>187.5549</c:v>
                </c:pt>
                <c:pt idx="255">
                  <c:v>181.60400000000004</c:v>
                </c:pt>
                <c:pt idx="256">
                  <c:v>174.28643333333338</c:v>
                </c:pt>
                <c:pt idx="257">
                  <c:v>168.29108888888885</c:v>
                </c:pt>
                <c:pt idx="258">
                  <c:v>163.41796666666673</c:v>
                </c:pt>
                <c:pt idx="259">
                  <c:v>168.63373333333334</c:v>
                </c:pt>
                <c:pt idx="260">
                  <c:v>175.06061111111109</c:v>
                </c:pt>
                <c:pt idx="261">
                  <c:v>175.60114444444446</c:v>
                </c:pt>
                <c:pt idx="262">
                  <c:v>183.85024444444448</c:v>
                </c:pt>
                <c:pt idx="263">
                  <c:v>187.5549</c:v>
                </c:pt>
                <c:pt idx="264">
                  <c:v>181.60400000000004</c:v>
                </c:pt>
                <c:pt idx="265">
                  <c:v>174.28643333333338</c:v>
                </c:pt>
                <c:pt idx="266">
                  <c:v>168.29108888888885</c:v>
                </c:pt>
                <c:pt idx="267">
                  <c:v>163.41796666666673</c:v>
                </c:pt>
                <c:pt idx="268">
                  <c:v>168.63373333333334</c:v>
                </c:pt>
                <c:pt idx="269">
                  <c:v>175.06061111111109</c:v>
                </c:pt>
                <c:pt idx="270">
                  <c:v>175.60114444444446</c:v>
                </c:pt>
                <c:pt idx="271">
                  <c:v>183.85024444444448</c:v>
                </c:pt>
                <c:pt idx="272">
                  <c:v>187.5549</c:v>
                </c:pt>
                <c:pt idx="273">
                  <c:v>181.60400000000004</c:v>
                </c:pt>
                <c:pt idx="274">
                  <c:v>174.28643333333338</c:v>
                </c:pt>
                <c:pt idx="275">
                  <c:v>168.29108888888885</c:v>
                </c:pt>
                <c:pt idx="276">
                  <c:v>163.41796666666673</c:v>
                </c:pt>
                <c:pt idx="277">
                  <c:v>168.63373333333334</c:v>
                </c:pt>
                <c:pt idx="278">
                  <c:v>175.06061111111109</c:v>
                </c:pt>
                <c:pt idx="279">
                  <c:v>175.60114444444446</c:v>
                </c:pt>
                <c:pt idx="280">
                  <c:v>183.85024444444448</c:v>
                </c:pt>
                <c:pt idx="281">
                  <c:v>187.5549</c:v>
                </c:pt>
                <c:pt idx="282">
                  <c:v>181.60400000000004</c:v>
                </c:pt>
                <c:pt idx="283">
                  <c:v>174.28643333333338</c:v>
                </c:pt>
                <c:pt idx="284">
                  <c:v>168.29108888888885</c:v>
                </c:pt>
                <c:pt idx="285">
                  <c:v>163.41796666666673</c:v>
                </c:pt>
                <c:pt idx="286">
                  <c:v>168.63373333333334</c:v>
                </c:pt>
                <c:pt idx="287">
                  <c:v>175.06061111111109</c:v>
                </c:pt>
                <c:pt idx="288">
                  <c:v>175.60114444444446</c:v>
                </c:pt>
                <c:pt idx="289">
                  <c:v>183.85024444444448</c:v>
                </c:pt>
                <c:pt idx="290">
                  <c:v>187.5549</c:v>
                </c:pt>
                <c:pt idx="291">
                  <c:v>181.60400000000004</c:v>
                </c:pt>
                <c:pt idx="292">
                  <c:v>174.28643333333338</c:v>
                </c:pt>
                <c:pt idx="293">
                  <c:v>168.29108888888885</c:v>
                </c:pt>
                <c:pt idx="294">
                  <c:v>163.41796666666673</c:v>
                </c:pt>
                <c:pt idx="295">
                  <c:v>168.63373333333334</c:v>
                </c:pt>
                <c:pt idx="296">
                  <c:v>175.06061111111109</c:v>
                </c:pt>
                <c:pt idx="297">
                  <c:v>175.60114444444446</c:v>
                </c:pt>
                <c:pt idx="298">
                  <c:v>183.85024444444448</c:v>
                </c:pt>
                <c:pt idx="299">
                  <c:v>187.5549</c:v>
                </c:pt>
                <c:pt idx="300">
                  <c:v>181.60400000000004</c:v>
                </c:pt>
                <c:pt idx="301">
                  <c:v>174.28643333333338</c:v>
                </c:pt>
                <c:pt idx="302">
                  <c:v>168.29108888888885</c:v>
                </c:pt>
                <c:pt idx="303">
                  <c:v>163.41796666666673</c:v>
                </c:pt>
                <c:pt idx="304">
                  <c:v>168.63373333333334</c:v>
                </c:pt>
                <c:pt idx="305">
                  <c:v>175.06061111111109</c:v>
                </c:pt>
                <c:pt idx="306">
                  <c:v>175.60114444444446</c:v>
                </c:pt>
                <c:pt idx="307">
                  <c:v>183.85024444444448</c:v>
                </c:pt>
                <c:pt idx="308">
                  <c:v>187.5549</c:v>
                </c:pt>
                <c:pt idx="309">
                  <c:v>181.60400000000004</c:v>
                </c:pt>
                <c:pt idx="310">
                  <c:v>174.28643333333338</c:v>
                </c:pt>
                <c:pt idx="311">
                  <c:v>168.29108888888885</c:v>
                </c:pt>
                <c:pt idx="312">
                  <c:v>163.41796666666673</c:v>
                </c:pt>
                <c:pt idx="313">
                  <c:v>168.63373333333334</c:v>
                </c:pt>
                <c:pt idx="314">
                  <c:v>175.06061111111109</c:v>
                </c:pt>
                <c:pt idx="315">
                  <c:v>175.60114444444446</c:v>
                </c:pt>
                <c:pt idx="316">
                  <c:v>183.85024444444448</c:v>
                </c:pt>
                <c:pt idx="317">
                  <c:v>187.5549</c:v>
                </c:pt>
                <c:pt idx="318">
                  <c:v>181.60400000000004</c:v>
                </c:pt>
                <c:pt idx="319">
                  <c:v>174.28643333333338</c:v>
                </c:pt>
                <c:pt idx="320">
                  <c:v>168.29108888888885</c:v>
                </c:pt>
                <c:pt idx="321">
                  <c:v>163.41796666666673</c:v>
                </c:pt>
                <c:pt idx="322">
                  <c:v>168.63373333333334</c:v>
                </c:pt>
                <c:pt idx="323">
                  <c:v>175.06061111111109</c:v>
                </c:pt>
                <c:pt idx="324">
                  <c:v>175.60114444444446</c:v>
                </c:pt>
                <c:pt idx="325">
                  <c:v>183.85024444444448</c:v>
                </c:pt>
                <c:pt idx="326">
                  <c:v>187.5549</c:v>
                </c:pt>
                <c:pt idx="327">
                  <c:v>181.60400000000004</c:v>
                </c:pt>
                <c:pt idx="328">
                  <c:v>174.28643333333338</c:v>
                </c:pt>
                <c:pt idx="329">
                  <c:v>168.29108888888885</c:v>
                </c:pt>
                <c:pt idx="330">
                  <c:v>163.41796666666673</c:v>
                </c:pt>
                <c:pt idx="331">
                  <c:v>168.63373333333334</c:v>
                </c:pt>
                <c:pt idx="332">
                  <c:v>175.06061111111109</c:v>
                </c:pt>
                <c:pt idx="333">
                  <c:v>175.60114444444446</c:v>
                </c:pt>
                <c:pt idx="334">
                  <c:v>183.85024444444448</c:v>
                </c:pt>
                <c:pt idx="335">
                  <c:v>187.5549</c:v>
                </c:pt>
                <c:pt idx="336">
                  <c:v>181.60400000000004</c:v>
                </c:pt>
                <c:pt idx="337">
                  <c:v>174.28643333333338</c:v>
                </c:pt>
                <c:pt idx="338">
                  <c:v>168.29108888888885</c:v>
                </c:pt>
                <c:pt idx="339">
                  <c:v>163.41796666666673</c:v>
                </c:pt>
                <c:pt idx="340">
                  <c:v>168.63373333333334</c:v>
                </c:pt>
                <c:pt idx="341">
                  <c:v>175.06061111111109</c:v>
                </c:pt>
                <c:pt idx="342">
                  <c:v>175.60114444444446</c:v>
                </c:pt>
                <c:pt idx="343">
                  <c:v>183.85024444444448</c:v>
                </c:pt>
                <c:pt idx="344">
                  <c:v>187.5549</c:v>
                </c:pt>
                <c:pt idx="345">
                  <c:v>181.60400000000004</c:v>
                </c:pt>
                <c:pt idx="346">
                  <c:v>174.28643333333338</c:v>
                </c:pt>
                <c:pt idx="347">
                  <c:v>168.29108888888885</c:v>
                </c:pt>
                <c:pt idx="348">
                  <c:v>163.41796666666673</c:v>
                </c:pt>
                <c:pt idx="349">
                  <c:v>168.63373333333334</c:v>
                </c:pt>
                <c:pt idx="350">
                  <c:v>175.06061111111109</c:v>
                </c:pt>
                <c:pt idx="351">
                  <c:v>175.60114444444446</c:v>
                </c:pt>
                <c:pt idx="352">
                  <c:v>183.85024444444448</c:v>
                </c:pt>
                <c:pt idx="353">
                  <c:v>187.5549</c:v>
                </c:pt>
                <c:pt idx="354">
                  <c:v>181.60400000000004</c:v>
                </c:pt>
                <c:pt idx="355">
                  <c:v>174.28643333333338</c:v>
                </c:pt>
                <c:pt idx="356">
                  <c:v>168.29108888888885</c:v>
                </c:pt>
                <c:pt idx="357">
                  <c:v>163.41796666666673</c:v>
                </c:pt>
                <c:pt idx="358">
                  <c:v>168.63373333333334</c:v>
                </c:pt>
                <c:pt idx="359">
                  <c:v>175.06061111111109</c:v>
                </c:pt>
                <c:pt idx="360">
                  <c:v>175.60114444444446</c:v>
                </c:pt>
                <c:pt idx="361">
                  <c:v>183.85024444444448</c:v>
                </c:pt>
                <c:pt idx="362">
                  <c:v>187.5549</c:v>
                </c:pt>
                <c:pt idx="363">
                  <c:v>181.60400000000004</c:v>
                </c:pt>
                <c:pt idx="364">
                  <c:v>174.28643333333338</c:v>
                </c:pt>
                <c:pt idx="365">
                  <c:v>168.29108888888885</c:v>
                </c:pt>
                <c:pt idx="366">
                  <c:v>163.41796666666673</c:v>
                </c:pt>
                <c:pt idx="367">
                  <c:v>168.63373333333334</c:v>
                </c:pt>
                <c:pt idx="368">
                  <c:v>175.06061111111109</c:v>
                </c:pt>
                <c:pt idx="369">
                  <c:v>175.60114444444446</c:v>
                </c:pt>
                <c:pt idx="370">
                  <c:v>183.85024444444448</c:v>
                </c:pt>
                <c:pt idx="371">
                  <c:v>187.5549</c:v>
                </c:pt>
                <c:pt idx="372">
                  <c:v>181.60400000000004</c:v>
                </c:pt>
                <c:pt idx="373">
                  <c:v>174.28643333333338</c:v>
                </c:pt>
                <c:pt idx="374">
                  <c:v>168.29108888888885</c:v>
                </c:pt>
                <c:pt idx="375">
                  <c:v>163.41796666666673</c:v>
                </c:pt>
                <c:pt idx="376">
                  <c:v>168.63373333333334</c:v>
                </c:pt>
                <c:pt idx="377">
                  <c:v>175.06061111111109</c:v>
                </c:pt>
                <c:pt idx="378">
                  <c:v>175.60114444444446</c:v>
                </c:pt>
                <c:pt idx="379">
                  <c:v>183.85024444444448</c:v>
                </c:pt>
                <c:pt idx="380">
                  <c:v>187.5549</c:v>
                </c:pt>
                <c:pt idx="381">
                  <c:v>181.60400000000004</c:v>
                </c:pt>
                <c:pt idx="382">
                  <c:v>174.28643333333338</c:v>
                </c:pt>
                <c:pt idx="383">
                  <c:v>168.29108888888885</c:v>
                </c:pt>
                <c:pt idx="384">
                  <c:v>163.41796666666673</c:v>
                </c:pt>
                <c:pt idx="385">
                  <c:v>168.63373333333334</c:v>
                </c:pt>
                <c:pt idx="386">
                  <c:v>175.06061111111109</c:v>
                </c:pt>
                <c:pt idx="387">
                  <c:v>175.60114444444446</c:v>
                </c:pt>
                <c:pt idx="388">
                  <c:v>183.85024444444448</c:v>
                </c:pt>
                <c:pt idx="389">
                  <c:v>187.5549</c:v>
                </c:pt>
                <c:pt idx="390">
                  <c:v>181.60400000000004</c:v>
                </c:pt>
                <c:pt idx="391">
                  <c:v>174.28643333333338</c:v>
                </c:pt>
                <c:pt idx="392">
                  <c:v>168.29108888888885</c:v>
                </c:pt>
                <c:pt idx="393">
                  <c:v>163.41796666666673</c:v>
                </c:pt>
                <c:pt idx="394">
                  <c:v>168.63373333333334</c:v>
                </c:pt>
                <c:pt idx="395">
                  <c:v>175.06061111111109</c:v>
                </c:pt>
                <c:pt idx="396">
                  <c:v>175.60114444444446</c:v>
                </c:pt>
                <c:pt idx="397">
                  <c:v>183.85024444444448</c:v>
                </c:pt>
                <c:pt idx="398">
                  <c:v>187.5549</c:v>
                </c:pt>
                <c:pt idx="399">
                  <c:v>181.60400000000004</c:v>
                </c:pt>
                <c:pt idx="400">
                  <c:v>174.28643333333338</c:v>
                </c:pt>
                <c:pt idx="401">
                  <c:v>168.29108888888885</c:v>
                </c:pt>
                <c:pt idx="402">
                  <c:v>163.41796666666673</c:v>
                </c:pt>
                <c:pt idx="403">
                  <c:v>168.63373333333334</c:v>
                </c:pt>
                <c:pt idx="404">
                  <c:v>175.06061111111109</c:v>
                </c:pt>
                <c:pt idx="405">
                  <c:v>175.60114444444446</c:v>
                </c:pt>
                <c:pt idx="406">
                  <c:v>183.85024444444448</c:v>
                </c:pt>
                <c:pt idx="407">
                  <c:v>187.5549</c:v>
                </c:pt>
                <c:pt idx="408">
                  <c:v>181.60400000000004</c:v>
                </c:pt>
                <c:pt idx="409">
                  <c:v>174.28643333333338</c:v>
                </c:pt>
                <c:pt idx="410">
                  <c:v>168.29108888888885</c:v>
                </c:pt>
                <c:pt idx="411">
                  <c:v>163.41796666666673</c:v>
                </c:pt>
                <c:pt idx="412">
                  <c:v>168.63373333333334</c:v>
                </c:pt>
                <c:pt idx="413">
                  <c:v>175.06061111111109</c:v>
                </c:pt>
                <c:pt idx="414">
                  <c:v>175.60114444444446</c:v>
                </c:pt>
                <c:pt idx="415">
                  <c:v>183.85024444444448</c:v>
                </c:pt>
                <c:pt idx="416">
                  <c:v>187.5549</c:v>
                </c:pt>
                <c:pt idx="417">
                  <c:v>181.60400000000004</c:v>
                </c:pt>
                <c:pt idx="418">
                  <c:v>174.28643333333338</c:v>
                </c:pt>
                <c:pt idx="419">
                  <c:v>168.29108888888885</c:v>
                </c:pt>
                <c:pt idx="420">
                  <c:v>163.41796666666673</c:v>
                </c:pt>
                <c:pt idx="421">
                  <c:v>168.63373333333334</c:v>
                </c:pt>
                <c:pt idx="422">
                  <c:v>175.06061111111109</c:v>
                </c:pt>
                <c:pt idx="423">
                  <c:v>175.60114444444446</c:v>
                </c:pt>
                <c:pt idx="424">
                  <c:v>183.85024444444448</c:v>
                </c:pt>
                <c:pt idx="425">
                  <c:v>187.5549</c:v>
                </c:pt>
                <c:pt idx="426">
                  <c:v>181.60400000000004</c:v>
                </c:pt>
                <c:pt idx="427">
                  <c:v>174.28643333333338</c:v>
                </c:pt>
                <c:pt idx="428">
                  <c:v>168.29108888888885</c:v>
                </c:pt>
                <c:pt idx="429">
                  <c:v>163.41796666666673</c:v>
                </c:pt>
                <c:pt idx="430">
                  <c:v>168.63373333333334</c:v>
                </c:pt>
                <c:pt idx="431">
                  <c:v>175.06061111111109</c:v>
                </c:pt>
                <c:pt idx="432">
                  <c:v>175.60114444444446</c:v>
                </c:pt>
                <c:pt idx="433">
                  <c:v>183.85024444444448</c:v>
                </c:pt>
                <c:pt idx="434">
                  <c:v>187.5549</c:v>
                </c:pt>
                <c:pt idx="435">
                  <c:v>181.60400000000004</c:v>
                </c:pt>
                <c:pt idx="436">
                  <c:v>174.28643333333338</c:v>
                </c:pt>
                <c:pt idx="437">
                  <c:v>168.29108888888885</c:v>
                </c:pt>
                <c:pt idx="438">
                  <c:v>163.41796666666673</c:v>
                </c:pt>
                <c:pt idx="439">
                  <c:v>168.63373333333334</c:v>
                </c:pt>
                <c:pt idx="440">
                  <c:v>175.06061111111109</c:v>
                </c:pt>
                <c:pt idx="441">
                  <c:v>175.60114444444446</c:v>
                </c:pt>
                <c:pt idx="442">
                  <c:v>183.85024444444448</c:v>
                </c:pt>
                <c:pt idx="443">
                  <c:v>187.5549</c:v>
                </c:pt>
                <c:pt idx="444">
                  <c:v>181.60400000000004</c:v>
                </c:pt>
                <c:pt idx="445">
                  <c:v>174.28643333333338</c:v>
                </c:pt>
                <c:pt idx="446">
                  <c:v>168.29108888888885</c:v>
                </c:pt>
                <c:pt idx="447">
                  <c:v>163.41796666666673</c:v>
                </c:pt>
                <c:pt idx="448">
                  <c:v>168.63373333333334</c:v>
                </c:pt>
                <c:pt idx="449">
                  <c:v>175.06061111111109</c:v>
                </c:pt>
                <c:pt idx="450">
                  <c:v>175.60114444444446</c:v>
                </c:pt>
                <c:pt idx="451">
                  <c:v>183.85024444444448</c:v>
                </c:pt>
                <c:pt idx="452">
                  <c:v>187.5549</c:v>
                </c:pt>
                <c:pt idx="453">
                  <c:v>181.60400000000004</c:v>
                </c:pt>
                <c:pt idx="454">
                  <c:v>174.28643333333338</c:v>
                </c:pt>
                <c:pt idx="455">
                  <c:v>168.29108888888885</c:v>
                </c:pt>
                <c:pt idx="456">
                  <c:v>163.41796666666673</c:v>
                </c:pt>
                <c:pt idx="457">
                  <c:v>168.63373333333334</c:v>
                </c:pt>
                <c:pt idx="458">
                  <c:v>175.06061111111109</c:v>
                </c:pt>
                <c:pt idx="459">
                  <c:v>175.60114444444446</c:v>
                </c:pt>
                <c:pt idx="460">
                  <c:v>183.85024444444448</c:v>
                </c:pt>
                <c:pt idx="461">
                  <c:v>187.5549</c:v>
                </c:pt>
                <c:pt idx="462">
                  <c:v>181.60400000000004</c:v>
                </c:pt>
                <c:pt idx="463">
                  <c:v>174.28643333333338</c:v>
                </c:pt>
                <c:pt idx="464">
                  <c:v>168.29108888888885</c:v>
                </c:pt>
                <c:pt idx="465">
                  <c:v>163.41796666666673</c:v>
                </c:pt>
                <c:pt idx="466">
                  <c:v>168.63373333333334</c:v>
                </c:pt>
                <c:pt idx="467">
                  <c:v>175.06061111111109</c:v>
                </c:pt>
                <c:pt idx="468">
                  <c:v>175.60114444444446</c:v>
                </c:pt>
                <c:pt idx="469">
                  <c:v>183.85024444444448</c:v>
                </c:pt>
                <c:pt idx="470">
                  <c:v>187.5549</c:v>
                </c:pt>
                <c:pt idx="471">
                  <c:v>181.60400000000004</c:v>
                </c:pt>
                <c:pt idx="472">
                  <c:v>174.28643333333338</c:v>
                </c:pt>
                <c:pt idx="473">
                  <c:v>168.29108888888885</c:v>
                </c:pt>
                <c:pt idx="474">
                  <c:v>163.41796666666673</c:v>
                </c:pt>
                <c:pt idx="475">
                  <c:v>168.63373333333334</c:v>
                </c:pt>
                <c:pt idx="476">
                  <c:v>175.06061111111109</c:v>
                </c:pt>
                <c:pt idx="477">
                  <c:v>175.60114444444446</c:v>
                </c:pt>
                <c:pt idx="478">
                  <c:v>183.85024444444448</c:v>
                </c:pt>
                <c:pt idx="479">
                  <c:v>187.5549</c:v>
                </c:pt>
                <c:pt idx="480">
                  <c:v>181.60400000000004</c:v>
                </c:pt>
                <c:pt idx="481">
                  <c:v>174.28643333333338</c:v>
                </c:pt>
                <c:pt idx="482">
                  <c:v>168.29108888888885</c:v>
                </c:pt>
                <c:pt idx="483">
                  <c:v>163.41796666666673</c:v>
                </c:pt>
                <c:pt idx="484">
                  <c:v>168.63373333333334</c:v>
                </c:pt>
                <c:pt idx="485">
                  <c:v>175.06061111111109</c:v>
                </c:pt>
                <c:pt idx="486">
                  <c:v>175.60114444444446</c:v>
                </c:pt>
                <c:pt idx="487">
                  <c:v>183.85024444444448</c:v>
                </c:pt>
                <c:pt idx="488">
                  <c:v>187.5549</c:v>
                </c:pt>
                <c:pt idx="489">
                  <c:v>181.60400000000004</c:v>
                </c:pt>
                <c:pt idx="490">
                  <c:v>174.28643333333338</c:v>
                </c:pt>
                <c:pt idx="491">
                  <c:v>168.29108888888885</c:v>
                </c:pt>
                <c:pt idx="492">
                  <c:v>163.41796666666673</c:v>
                </c:pt>
                <c:pt idx="493">
                  <c:v>168.63373333333334</c:v>
                </c:pt>
                <c:pt idx="494">
                  <c:v>175.06061111111109</c:v>
                </c:pt>
                <c:pt idx="495">
                  <c:v>175.60114444444446</c:v>
                </c:pt>
                <c:pt idx="496">
                  <c:v>183.85024444444448</c:v>
                </c:pt>
                <c:pt idx="497">
                  <c:v>187.5549</c:v>
                </c:pt>
                <c:pt idx="498">
                  <c:v>181.60400000000004</c:v>
                </c:pt>
                <c:pt idx="499">
                  <c:v>174.28643333333338</c:v>
                </c:pt>
                <c:pt idx="500">
                  <c:v>168.29108888888885</c:v>
                </c:pt>
                <c:pt idx="501">
                  <c:v>163.41796666666673</c:v>
                </c:pt>
                <c:pt idx="502">
                  <c:v>168.63373333333334</c:v>
                </c:pt>
                <c:pt idx="503">
                  <c:v>175.06061111111109</c:v>
                </c:pt>
                <c:pt idx="504">
                  <c:v>175.60114444444446</c:v>
                </c:pt>
                <c:pt idx="505">
                  <c:v>183.85024444444448</c:v>
                </c:pt>
                <c:pt idx="506">
                  <c:v>187.5549</c:v>
                </c:pt>
                <c:pt idx="507">
                  <c:v>181.60400000000004</c:v>
                </c:pt>
                <c:pt idx="508">
                  <c:v>174.28643333333338</c:v>
                </c:pt>
                <c:pt idx="509">
                  <c:v>168.29108888888885</c:v>
                </c:pt>
                <c:pt idx="510">
                  <c:v>163.41796666666673</c:v>
                </c:pt>
                <c:pt idx="511">
                  <c:v>168.63373333333334</c:v>
                </c:pt>
              </c:numCache>
            </c:numRef>
          </c:val>
          <c:smooth val="0"/>
          <c:extLst>
            <c:ext xmlns:c16="http://schemas.microsoft.com/office/drawing/2014/chart" uri="{C3380CC4-5D6E-409C-BE32-E72D297353CC}">
              <c16:uniqueId val="{00000000-F9FB-4B0C-8D46-949A83057B4F}"/>
            </c:ext>
          </c:extLst>
        </c:ser>
        <c:dLbls>
          <c:showLegendKey val="0"/>
          <c:showVal val="0"/>
          <c:showCatName val="0"/>
          <c:showSerName val="0"/>
          <c:showPercent val="0"/>
          <c:showBubbleSize val="0"/>
        </c:dLbls>
        <c:marker val="1"/>
        <c:smooth val="0"/>
        <c:axId val="508839648"/>
        <c:axId val="508846368"/>
      </c:lineChart>
      <c:catAx>
        <c:axId val="5088396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8846368"/>
        <c:crosses val="autoZero"/>
        <c:auto val="1"/>
        <c:lblAlgn val="ctr"/>
        <c:lblOffset val="100"/>
        <c:noMultiLvlLbl val="0"/>
      </c:catAx>
      <c:valAx>
        <c:axId val="50884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508839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Η γραφική παράσταση της στοχαστικότητας Ε - Ερώτημα 12</a:t>
            </a:r>
            <a:endParaRPr lang="en-US" sz="1400" b="0" i="0" u="none" strike="noStrike" kern="1200" spc="0" baseline="0">
              <a:solidFill>
                <a:sysClr val="windowText" lastClr="000000">
                  <a:lumMod val="65000"/>
                  <a:lumOff val="35000"/>
                </a:sysClr>
              </a:solidFill>
            </a:endParaRPr>
          </a:p>
        </c:rich>
      </c:tx>
      <c:layout>
        <c:manualLayout>
          <c:xMode val="edge"/>
          <c:yMode val="edge"/>
          <c:x val="0.1522562775722662"/>
          <c:y val="1.68337448985137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manualLayout>
          <c:layoutTarget val="inner"/>
          <c:xMode val="edge"/>
          <c:yMode val="edge"/>
          <c:x val="0.10801261232334117"/>
          <c:y val="0.19216537529380465"/>
          <c:w val="0.85557590225427083"/>
          <c:h val="0.78305681862986953"/>
        </c:manualLayout>
      </c:layout>
      <c:scatterChart>
        <c:scatterStyle val="line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manualLayout>
                  <c:x val="0.10570316633174059"/>
                  <c:y val="-0.561821732552171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trendlineLbl>
          </c:trendline>
          <c:yVal>
            <c:numRef>
              <c:f>'Gold Futures Historical Data'!$I$2:$I$513</c:f>
              <c:numCache>
                <c:formatCode>General</c:formatCode>
                <c:ptCount val="512"/>
                <c:pt idx="0">
                  <c:v>-46.412044444444405</c:v>
                </c:pt>
                <c:pt idx="1">
                  <c:v>-47.012044444444342</c:v>
                </c:pt>
                <c:pt idx="2">
                  <c:v>-69.667599999999908</c:v>
                </c:pt>
                <c:pt idx="3">
                  <c:v>-29.267599999999902</c:v>
                </c:pt>
                <c:pt idx="4">
                  <c:v>-32.400933333333285</c:v>
                </c:pt>
                <c:pt idx="5">
                  <c:v>-24.05648888888885</c:v>
                </c:pt>
                <c:pt idx="6">
                  <c:v>-2.3342666666665934</c:v>
                </c:pt>
                <c:pt idx="7">
                  <c:v>30.499066666666749</c:v>
                </c:pt>
                <c:pt idx="8">
                  <c:v>102.52128888888905</c:v>
                </c:pt>
                <c:pt idx="9">
                  <c:v>90.129855555555537</c:v>
                </c:pt>
                <c:pt idx="10">
                  <c:v>68.229855555555645</c:v>
                </c:pt>
                <c:pt idx="11">
                  <c:v>111.57430000000008</c:v>
                </c:pt>
                <c:pt idx="12">
                  <c:v>102.97430000000008</c:v>
                </c:pt>
                <c:pt idx="13">
                  <c:v>101.94096666666661</c:v>
                </c:pt>
                <c:pt idx="14">
                  <c:v>71.985411111111091</c:v>
                </c:pt>
                <c:pt idx="15">
                  <c:v>75.507633333333303</c:v>
                </c:pt>
                <c:pt idx="16">
                  <c:v>87.340966666666645</c:v>
                </c:pt>
                <c:pt idx="17">
                  <c:v>68.463188888888851</c:v>
                </c:pt>
                <c:pt idx="18">
                  <c:v>60.071755555555569</c:v>
                </c:pt>
                <c:pt idx="19">
                  <c:v>109.07175555555554</c:v>
                </c:pt>
                <c:pt idx="20">
                  <c:v>105.61620000000002</c:v>
                </c:pt>
                <c:pt idx="21">
                  <c:v>87.016200000000026</c:v>
                </c:pt>
                <c:pt idx="22">
                  <c:v>71.282866666666735</c:v>
                </c:pt>
                <c:pt idx="23">
                  <c:v>37.827311111111214</c:v>
                </c:pt>
                <c:pt idx="24">
                  <c:v>65.64953333333338</c:v>
                </c:pt>
                <c:pt idx="25">
                  <c:v>90.182866666666769</c:v>
                </c:pt>
                <c:pt idx="26">
                  <c:v>99.405088888888884</c:v>
                </c:pt>
                <c:pt idx="27">
                  <c:v>123.21365555555565</c:v>
                </c:pt>
                <c:pt idx="28">
                  <c:v>128.31365555555553</c:v>
                </c:pt>
                <c:pt idx="29">
                  <c:v>140.7581000000001</c:v>
                </c:pt>
                <c:pt idx="30">
                  <c:v>112.45810000000006</c:v>
                </c:pt>
                <c:pt idx="31">
                  <c:v>112.52476666666672</c:v>
                </c:pt>
                <c:pt idx="32">
                  <c:v>149.36921111111116</c:v>
                </c:pt>
                <c:pt idx="33">
                  <c:v>137.89143333333337</c:v>
                </c:pt>
                <c:pt idx="34">
                  <c:v>128.22476666666671</c:v>
                </c:pt>
                <c:pt idx="35">
                  <c:v>121.54698888888896</c:v>
                </c:pt>
                <c:pt idx="36">
                  <c:v>97.455555555555634</c:v>
                </c:pt>
                <c:pt idx="37">
                  <c:v>86.75555555555556</c:v>
                </c:pt>
                <c:pt idx="38">
                  <c:v>87.6</c:v>
                </c:pt>
                <c:pt idx="39">
                  <c:v>66</c:v>
                </c:pt>
                <c:pt idx="40">
                  <c:v>101.56666666666666</c:v>
                </c:pt>
                <c:pt idx="41">
                  <c:v>79.711111111111052</c:v>
                </c:pt>
                <c:pt idx="42">
                  <c:v>16.133333333333354</c:v>
                </c:pt>
                <c:pt idx="43">
                  <c:v>11.266666666666652</c:v>
                </c:pt>
                <c:pt idx="44">
                  <c:v>13.788888888888948</c:v>
                </c:pt>
                <c:pt idx="45">
                  <c:v>19.097455555555484</c:v>
                </c:pt>
                <c:pt idx="46">
                  <c:v>35.297455555555501</c:v>
                </c:pt>
                <c:pt idx="47">
                  <c:v>-51.858100000000064</c:v>
                </c:pt>
                <c:pt idx="48">
                  <c:v>-64.758100000000013</c:v>
                </c:pt>
                <c:pt idx="49">
                  <c:v>-90.991433333333305</c:v>
                </c:pt>
                <c:pt idx="50">
                  <c:v>-88.846988888888916</c:v>
                </c:pt>
                <c:pt idx="51">
                  <c:v>-103.12476666666666</c:v>
                </c:pt>
                <c:pt idx="52">
                  <c:v>-136.09143333333327</c:v>
                </c:pt>
                <c:pt idx="53">
                  <c:v>-149.5692111111112</c:v>
                </c:pt>
                <c:pt idx="54">
                  <c:v>-135.26064444444444</c:v>
                </c:pt>
                <c:pt idx="55">
                  <c:v>-125.06064444444442</c:v>
                </c:pt>
                <c:pt idx="56">
                  <c:v>-109.21619999999999</c:v>
                </c:pt>
                <c:pt idx="57">
                  <c:v>-97.816199999999981</c:v>
                </c:pt>
                <c:pt idx="58">
                  <c:v>-110.24953333333332</c:v>
                </c:pt>
                <c:pt idx="59">
                  <c:v>-75.105088888888929</c:v>
                </c:pt>
                <c:pt idx="60">
                  <c:v>-58.382866666666672</c:v>
                </c:pt>
                <c:pt idx="61">
                  <c:v>-63.649533333333466</c:v>
                </c:pt>
                <c:pt idx="62">
                  <c:v>-54.127311111111169</c:v>
                </c:pt>
                <c:pt idx="63">
                  <c:v>-89.718744444444496</c:v>
                </c:pt>
                <c:pt idx="64">
                  <c:v>-126.31874444444443</c:v>
                </c:pt>
                <c:pt idx="65">
                  <c:v>-104.4743</c:v>
                </c:pt>
                <c:pt idx="66">
                  <c:v>-83.474300000000085</c:v>
                </c:pt>
                <c:pt idx="67">
                  <c:v>-76.707633333333376</c:v>
                </c:pt>
                <c:pt idx="68">
                  <c:v>-67.863188888888942</c:v>
                </c:pt>
                <c:pt idx="69">
                  <c:v>-35.040966666666776</c:v>
                </c:pt>
                <c:pt idx="70">
                  <c:v>-42.907633333333479</c:v>
                </c:pt>
                <c:pt idx="71">
                  <c:v>-73.385411111111182</c:v>
                </c:pt>
                <c:pt idx="72">
                  <c:v>-118.57684444444442</c:v>
                </c:pt>
                <c:pt idx="73">
                  <c:v>-129.27684444444449</c:v>
                </c:pt>
                <c:pt idx="74">
                  <c:v>-110.33240000000015</c:v>
                </c:pt>
                <c:pt idx="75">
                  <c:v>-93.132400000000189</c:v>
                </c:pt>
                <c:pt idx="76">
                  <c:v>-76.96573333333339</c:v>
                </c:pt>
                <c:pt idx="77">
                  <c:v>-83.021288888888819</c:v>
                </c:pt>
                <c:pt idx="78">
                  <c:v>-96.299066666666789</c:v>
                </c:pt>
                <c:pt idx="79">
                  <c:v>-104.86573333333331</c:v>
                </c:pt>
                <c:pt idx="80">
                  <c:v>-128.6435111111112</c:v>
                </c:pt>
                <c:pt idx="81">
                  <c:v>-165.03494444444448</c:v>
                </c:pt>
                <c:pt idx="82">
                  <c:v>-158.73494444444455</c:v>
                </c:pt>
                <c:pt idx="83">
                  <c:v>-138.29049999999998</c:v>
                </c:pt>
                <c:pt idx="84">
                  <c:v>-115.19050000000016</c:v>
                </c:pt>
                <c:pt idx="85">
                  <c:v>-121.82383333333354</c:v>
                </c:pt>
                <c:pt idx="86">
                  <c:v>-89.679388888888923</c:v>
                </c:pt>
                <c:pt idx="87">
                  <c:v>-90.457166666666893</c:v>
                </c:pt>
                <c:pt idx="88">
                  <c:v>-92.623833333333323</c:v>
                </c:pt>
                <c:pt idx="89">
                  <c:v>-69.801611111111072</c:v>
                </c:pt>
                <c:pt idx="90">
                  <c:v>-52.79304444444449</c:v>
                </c:pt>
                <c:pt idx="91">
                  <c:v>-90.293044444444519</c:v>
                </c:pt>
                <c:pt idx="92">
                  <c:v>-124.94860000000008</c:v>
                </c:pt>
                <c:pt idx="93">
                  <c:v>-134.94860000000017</c:v>
                </c:pt>
                <c:pt idx="94">
                  <c:v>-140.78193333333337</c:v>
                </c:pt>
                <c:pt idx="95">
                  <c:v>-108.33748888888903</c:v>
                </c:pt>
                <c:pt idx="96">
                  <c:v>-130.81526666666682</c:v>
                </c:pt>
                <c:pt idx="97">
                  <c:v>-147.98193333333347</c:v>
                </c:pt>
                <c:pt idx="98">
                  <c:v>-160.25971111111113</c:v>
                </c:pt>
                <c:pt idx="99">
                  <c:v>-159.0511444444445</c:v>
                </c:pt>
                <c:pt idx="100">
                  <c:v>-148.25114444444458</c:v>
                </c:pt>
                <c:pt idx="101">
                  <c:v>-164.40670000000014</c:v>
                </c:pt>
                <c:pt idx="102">
                  <c:v>-166.70670000000018</c:v>
                </c:pt>
                <c:pt idx="103">
                  <c:v>-196.54003333333338</c:v>
                </c:pt>
                <c:pt idx="104">
                  <c:v>-184.69558888888895</c:v>
                </c:pt>
                <c:pt idx="105">
                  <c:v>-161.77336666666687</c:v>
                </c:pt>
                <c:pt idx="106">
                  <c:v>-139.74003333333326</c:v>
                </c:pt>
                <c:pt idx="107">
                  <c:v>-136.41781111111101</c:v>
                </c:pt>
                <c:pt idx="108">
                  <c:v>-127.60924444444424</c:v>
                </c:pt>
                <c:pt idx="109">
                  <c:v>-140.90924444444445</c:v>
                </c:pt>
                <c:pt idx="110">
                  <c:v>-128.86479999999997</c:v>
                </c:pt>
                <c:pt idx="111">
                  <c:v>-140.96479999999997</c:v>
                </c:pt>
                <c:pt idx="112">
                  <c:v>-158.49813333333321</c:v>
                </c:pt>
                <c:pt idx="113">
                  <c:v>-115.25368888888869</c:v>
                </c:pt>
                <c:pt idx="114">
                  <c:v>-139.53146666666666</c:v>
                </c:pt>
                <c:pt idx="115">
                  <c:v>-154.89813333333313</c:v>
                </c:pt>
                <c:pt idx="116">
                  <c:v>-163.97591111111097</c:v>
                </c:pt>
                <c:pt idx="117">
                  <c:v>-179.46734444444439</c:v>
                </c:pt>
                <c:pt idx="118">
                  <c:v>-153.36734444444429</c:v>
                </c:pt>
                <c:pt idx="119">
                  <c:v>-182.92289999999994</c:v>
                </c:pt>
                <c:pt idx="120">
                  <c:v>-171.42290000000003</c:v>
                </c:pt>
                <c:pt idx="121">
                  <c:v>-155.55623333333318</c:v>
                </c:pt>
                <c:pt idx="122">
                  <c:v>-162.41178888888879</c:v>
                </c:pt>
                <c:pt idx="123">
                  <c:v>-175.68956666666654</c:v>
                </c:pt>
                <c:pt idx="124">
                  <c:v>-192.85623333333319</c:v>
                </c:pt>
                <c:pt idx="125">
                  <c:v>-196.53401111111094</c:v>
                </c:pt>
                <c:pt idx="126">
                  <c:v>-229.72544444444441</c:v>
                </c:pt>
                <c:pt idx="127">
                  <c:v>-228.82544444444434</c:v>
                </c:pt>
                <c:pt idx="128">
                  <c:v>-240.18099999999995</c:v>
                </c:pt>
                <c:pt idx="129">
                  <c:v>-234.0809999999999</c:v>
                </c:pt>
                <c:pt idx="130">
                  <c:v>-254.21433333333329</c:v>
                </c:pt>
                <c:pt idx="131">
                  <c:v>-259.26988888888872</c:v>
                </c:pt>
                <c:pt idx="132">
                  <c:v>-273.84766666666667</c:v>
                </c:pt>
                <c:pt idx="133">
                  <c:v>-281.0143333333333</c:v>
                </c:pt>
                <c:pt idx="134">
                  <c:v>-305.29211111111096</c:v>
                </c:pt>
                <c:pt idx="135">
                  <c:v>-319.18354444444446</c:v>
                </c:pt>
                <c:pt idx="136">
                  <c:v>-338.78354444444437</c:v>
                </c:pt>
                <c:pt idx="137">
                  <c:v>-345.53909999999985</c:v>
                </c:pt>
                <c:pt idx="138">
                  <c:v>-347.03909999999996</c:v>
                </c:pt>
                <c:pt idx="139">
                  <c:v>-377.77243333333325</c:v>
                </c:pt>
                <c:pt idx="140">
                  <c:v>-345.92798888888882</c:v>
                </c:pt>
                <c:pt idx="141">
                  <c:v>-350.90576666666664</c:v>
                </c:pt>
                <c:pt idx="142">
                  <c:v>-365.67243333333317</c:v>
                </c:pt>
                <c:pt idx="143">
                  <c:v>-374.6502111111111</c:v>
                </c:pt>
                <c:pt idx="144">
                  <c:v>-378.24164444444443</c:v>
                </c:pt>
                <c:pt idx="145">
                  <c:v>-394.84164444444434</c:v>
                </c:pt>
                <c:pt idx="146">
                  <c:v>-392.3972</c:v>
                </c:pt>
                <c:pt idx="147">
                  <c:v>-373.29719999999998</c:v>
                </c:pt>
                <c:pt idx="148">
                  <c:v>-362.53053333333327</c:v>
                </c:pt>
                <c:pt idx="149">
                  <c:v>-352.68608888888883</c:v>
                </c:pt>
                <c:pt idx="150">
                  <c:v>-353.56386666666674</c:v>
                </c:pt>
                <c:pt idx="151">
                  <c:v>-386.73053333333337</c:v>
                </c:pt>
                <c:pt idx="152">
                  <c:v>-382.00831111111103</c:v>
                </c:pt>
                <c:pt idx="153">
                  <c:v>-385.59974444444435</c:v>
                </c:pt>
                <c:pt idx="154">
                  <c:v>-394.2997444444444</c:v>
                </c:pt>
                <c:pt idx="155">
                  <c:v>-374.65530000000001</c:v>
                </c:pt>
                <c:pt idx="156">
                  <c:v>-383.1552999999999</c:v>
                </c:pt>
                <c:pt idx="157">
                  <c:v>-362.38863333333342</c:v>
                </c:pt>
                <c:pt idx="158">
                  <c:v>-334.7441888888888</c:v>
                </c:pt>
                <c:pt idx="159">
                  <c:v>-330.32196666666675</c:v>
                </c:pt>
                <c:pt idx="160">
                  <c:v>-335.08863333333329</c:v>
                </c:pt>
                <c:pt idx="161">
                  <c:v>-351.66641111111113</c:v>
                </c:pt>
                <c:pt idx="162">
                  <c:v>-339.9578444444445</c:v>
                </c:pt>
                <c:pt idx="163">
                  <c:v>-327.4578444444445</c:v>
                </c:pt>
                <c:pt idx="164">
                  <c:v>-338.01339999999993</c:v>
                </c:pt>
                <c:pt idx="165">
                  <c:v>-331.71340000000009</c:v>
                </c:pt>
                <c:pt idx="166">
                  <c:v>-316.94673333333338</c:v>
                </c:pt>
                <c:pt idx="167">
                  <c:v>-347.80228888888877</c:v>
                </c:pt>
                <c:pt idx="168">
                  <c:v>-346.08006666666677</c:v>
                </c:pt>
                <c:pt idx="169">
                  <c:v>-350.94673333333321</c:v>
                </c:pt>
                <c:pt idx="170">
                  <c:v>-351.2245111111111</c:v>
                </c:pt>
                <c:pt idx="171">
                  <c:v>-362.81594444444443</c:v>
                </c:pt>
                <c:pt idx="172">
                  <c:v>-377.11594444444438</c:v>
                </c:pt>
                <c:pt idx="173">
                  <c:v>-384.5714999999999</c:v>
                </c:pt>
                <c:pt idx="174">
                  <c:v>-401.07150000000001</c:v>
                </c:pt>
                <c:pt idx="175">
                  <c:v>-384.2048333333334</c:v>
                </c:pt>
                <c:pt idx="176">
                  <c:v>-389.06038888888878</c:v>
                </c:pt>
                <c:pt idx="177">
                  <c:v>-381.33816666666678</c:v>
                </c:pt>
                <c:pt idx="178">
                  <c:v>-401.70483333333323</c:v>
                </c:pt>
                <c:pt idx="179">
                  <c:v>-403.58261111111102</c:v>
                </c:pt>
                <c:pt idx="180">
                  <c:v>-379.67404444444435</c:v>
                </c:pt>
                <c:pt idx="181">
                  <c:v>-356.27404444444448</c:v>
                </c:pt>
                <c:pt idx="182">
                  <c:v>-364.62959999999987</c:v>
                </c:pt>
                <c:pt idx="183">
                  <c:v>-306.42959999999994</c:v>
                </c:pt>
                <c:pt idx="184">
                  <c:v>-288.66293333333346</c:v>
                </c:pt>
                <c:pt idx="185">
                  <c:v>-299.21848888888888</c:v>
                </c:pt>
                <c:pt idx="186">
                  <c:v>-285.39626666666675</c:v>
                </c:pt>
                <c:pt idx="187">
                  <c:v>-279.16293333333329</c:v>
                </c:pt>
                <c:pt idx="188">
                  <c:v>-296.14071111111099</c:v>
                </c:pt>
                <c:pt idx="189">
                  <c:v>-268.33214444444445</c:v>
                </c:pt>
                <c:pt idx="190">
                  <c:v>-228.83214444444448</c:v>
                </c:pt>
                <c:pt idx="191">
                  <c:v>-220.68770000000009</c:v>
                </c:pt>
                <c:pt idx="192">
                  <c:v>-203.98770000000013</c:v>
                </c:pt>
                <c:pt idx="193">
                  <c:v>-208.12103333333329</c:v>
                </c:pt>
                <c:pt idx="194">
                  <c:v>-219.27658888888885</c:v>
                </c:pt>
                <c:pt idx="195">
                  <c:v>-233.65436666666673</c:v>
                </c:pt>
                <c:pt idx="196">
                  <c:v>-226.52103333333343</c:v>
                </c:pt>
                <c:pt idx="197">
                  <c:v>-238.19881111111118</c:v>
                </c:pt>
                <c:pt idx="198">
                  <c:v>-235.39024444444442</c:v>
                </c:pt>
                <c:pt idx="199">
                  <c:v>-271.09024444444447</c:v>
                </c:pt>
                <c:pt idx="200">
                  <c:v>-272.54579999999999</c:v>
                </c:pt>
                <c:pt idx="201">
                  <c:v>-258.5458000000001</c:v>
                </c:pt>
                <c:pt idx="202">
                  <c:v>-248.27913333333339</c:v>
                </c:pt>
                <c:pt idx="203">
                  <c:v>-294.23468888888891</c:v>
                </c:pt>
                <c:pt idx="204">
                  <c:v>-287.01246666666668</c:v>
                </c:pt>
                <c:pt idx="205">
                  <c:v>-300.37913333333336</c:v>
                </c:pt>
                <c:pt idx="206">
                  <c:v>-302.4569111111112</c:v>
                </c:pt>
                <c:pt idx="207">
                  <c:v>-313.64834444444443</c:v>
                </c:pt>
                <c:pt idx="208">
                  <c:v>-308.94834444444439</c:v>
                </c:pt>
                <c:pt idx="209">
                  <c:v>-316.20390000000009</c:v>
                </c:pt>
                <c:pt idx="210">
                  <c:v>-276.00390000000016</c:v>
                </c:pt>
                <c:pt idx="211">
                  <c:v>-237.33723333333336</c:v>
                </c:pt>
                <c:pt idx="212">
                  <c:v>-226.89278888888879</c:v>
                </c:pt>
                <c:pt idx="213">
                  <c:v>-225.17056666666653</c:v>
                </c:pt>
                <c:pt idx="214">
                  <c:v>-221.9372333333331</c:v>
                </c:pt>
                <c:pt idx="215">
                  <c:v>-216.01501111111094</c:v>
                </c:pt>
                <c:pt idx="216">
                  <c:v>-234.40644444444422</c:v>
                </c:pt>
                <c:pt idx="217">
                  <c:v>-233.2064444444442</c:v>
                </c:pt>
                <c:pt idx="218">
                  <c:v>-177.4619999999999</c:v>
                </c:pt>
                <c:pt idx="219">
                  <c:v>-257.5619999999999</c:v>
                </c:pt>
                <c:pt idx="220">
                  <c:v>-149.19533333333328</c:v>
                </c:pt>
                <c:pt idx="221">
                  <c:v>-303.05088888888866</c:v>
                </c:pt>
                <c:pt idx="222">
                  <c:v>-332.82866666666666</c:v>
                </c:pt>
                <c:pt idx="223">
                  <c:v>-175.29533333333325</c:v>
                </c:pt>
                <c:pt idx="224">
                  <c:v>-193.5731111111109</c:v>
                </c:pt>
                <c:pt idx="225">
                  <c:v>-90.764544444444368</c:v>
                </c:pt>
                <c:pt idx="226">
                  <c:v>-154.2645444444444</c:v>
                </c:pt>
                <c:pt idx="227">
                  <c:v>-121.62009999999978</c:v>
                </c:pt>
                <c:pt idx="228">
                  <c:v>-151.42009999999982</c:v>
                </c:pt>
                <c:pt idx="229">
                  <c:v>-127.95343333333329</c:v>
                </c:pt>
                <c:pt idx="230">
                  <c:v>-83.808988888888678</c:v>
                </c:pt>
                <c:pt idx="231">
                  <c:v>-96.686766666666557</c:v>
                </c:pt>
                <c:pt idx="232">
                  <c:v>-97.953433333333123</c:v>
                </c:pt>
                <c:pt idx="233">
                  <c:v>-174.23121111111101</c:v>
                </c:pt>
                <c:pt idx="234">
                  <c:v>-125.92264444444424</c:v>
                </c:pt>
                <c:pt idx="235">
                  <c:v>-122.62264444444432</c:v>
                </c:pt>
                <c:pt idx="236">
                  <c:v>-100.77819999999988</c:v>
                </c:pt>
                <c:pt idx="237">
                  <c:v>-86.878199999999879</c:v>
                </c:pt>
                <c:pt idx="238">
                  <c:v>-81.911533333333125</c:v>
                </c:pt>
                <c:pt idx="239">
                  <c:v>-65.467088888888782</c:v>
                </c:pt>
                <c:pt idx="240">
                  <c:v>-58.544866666666479</c:v>
                </c:pt>
                <c:pt idx="241">
                  <c:v>22.188466666666727</c:v>
                </c:pt>
                <c:pt idx="242">
                  <c:v>88.31068888888916</c:v>
                </c:pt>
                <c:pt idx="243">
                  <c:v>126.6192555555557</c:v>
                </c:pt>
                <c:pt idx="244">
                  <c:v>36.919255555555623</c:v>
                </c:pt>
                <c:pt idx="245">
                  <c:v>27.163700000000148</c:v>
                </c:pt>
                <c:pt idx="246">
                  <c:v>57.763700000000199</c:v>
                </c:pt>
                <c:pt idx="247">
                  <c:v>21.230366666666725</c:v>
                </c:pt>
                <c:pt idx="248">
                  <c:v>37.574811111111387</c:v>
                </c:pt>
                <c:pt idx="249">
                  <c:v>53.397033333333326</c:v>
                </c:pt>
                <c:pt idx="250">
                  <c:v>-50.86963333333324</c:v>
                </c:pt>
                <c:pt idx="251">
                  <c:v>-12.147411111110898</c:v>
                </c:pt>
                <c:pt idx="252">
                  <c:v>2.9611555555555924</c:v>
                </c:pt>
                <c:pt idx="253">
                  <c:v>-28.138844444444345</c:v>
                </c:pt>
                <c:pt idx="254">
                  <c:v>-36.39439999999982</c:v>
                </c:pt>
                <c:pt idx="255">
                  <c:v>-59.19439999999986</c:v>
                </c:pt>
                <c:pt idx="256">
                  <c:v>16.772266666666667</c:v>
                </c:pt>
                <c:pt idx="257">
                  <c:v>-46.583288888888717</c:v>
                </c:pt>
                <c:pt idx="258">
                  <c:v>-59.761066666666551</c:v>
                </c:pt>
                <c:pt idx="259">
                  <c:v>-154.3277333333333</c:v>
                </c:pt>
                <c:pt idx="260">
                  <c:v>-112.10551111111096</c:v>
                </c:pt>
                <c:pt idx="261">
                  <c:v>-112.29694444444442</c:v>
                </c:pt>
                <c:pt idx="262">
                  <c:v>-78.396944444444358</c:v>
                </c:pt>
                <c:pt idx="263">
                  <c:v>-90.952499999999787</c:v>
                </c:pt>
                <c:pt idx="264">
                  <c:v>-76.052500000000009</c:v>
                </c:pt>
                <c:pt idx="265">
                  <c:v>-131.88583333333321</c:v>
                </c:pt>
                <c:pt idx="266">
                  <c:v>-135.14138888888868</c:v>
                </c:pt>
                <c:pt idx="267">
                  <c:v>-107.31916666666652</c:v>
                </c:pt>
                <c:pt idx="268">
                  <c:v>-122.98583333333318</c:v>
                </c:pt>
                <c:pt idx="269">
                  <c:v>-169.76361111111106</c:v>
                </c:pt>
                <c:pt idx="270">
                  <c:v>-163.15504444444434</c:v>
                </c:pt>
                <c:pt idx="271">
                  <c:v>-220.35504444444442</c:v>
                </c:pt>
                <c:pt idx="272">
                  <c:v>-276.01059999999995</c:v>
                </c:pt>
                <c:pt idx="273">
                  <c:v>-303.31060000000002</c:v>
                </c:pt>
                <c:pt idx="274">
                  <c:v>-278.44393333333318</c:v>
                </c:pt>
                <c:pt idx="275">
                  <c:v>-254.19948888888865</c:v>
                </c:pt>
                <c:pt idx="276">
                  <c:v>-261.77726666666661</c:v>
                </c:pt>
                <c:pt idx="277">
                  <c:v>-274.64393333333328</c:v>
                </c:pt>
                <c:pt idx="278">
                  <c:v>-267.82171111111103</c:v>
                </c:pt>
                <c:pt idx="279">
                  <c:v>-236.21314444444431</c:v>
                </c:pt>
                <c:pt idx="280">
                  <c:v>-250.01314444444429</c:v>
                </c:pt>
                <c:pt idx="281">
                  <c:v>-267.06869999999992</c:v>
                </c:pt>
                <c:pt idx="282">
                  <c:v>-200.66869999999994</c:v>
                </c:pt>
                <c:pt idx="283">
                  <c:v>-190.10203333333328</c:v>
                </c:pt>
                <c:pt idx="284">
                  <c:v>-148.45758888888867</c:v>
                </c:pt>
                <c:pt idx="285">
                  <c:v>-118.83536666666654</c:v>
                </c:pt>
                <c:pt idx="286">
                  <c:v>-140.40203333333329</c:v>
                </c:pt>
                <c:pt idx="287">
                  <c:v>-162.17981111111095</c:v>
                </c:pt>
                <c:pt idx="288">
                  <c:v>-276.77124444444428</c:v>
                </c:pt>
                <c:pt idx="289">
                  <c:v>-279.37124444444441</c:v>
                </c:pt>
                <c:pt idx="290">
                  <c:v>-280.92679999999984</c:v>
                </c:pt>
                <c:pt idx="291">
                  <c:v>-251.32680000000005</c:v>
                </c:pt>
                <c:pt idx="292">
                  <c:v>-242.66013333333325</c:v>
                </c:pt>
                <c:pt idx="293">
                  <c:v>-253.01568888888886</c:v>
                </c:pt>
                <c:pt idx="294">
                  <c:v>-237.7934666666666</c:v>
                </c:pt>
                <c:pt idx="295">
                  <c:v>-300.36013333333335</c:v>
                </c:pt>
                <c:pt idx="296">
                  <c:v>-294.93791111111096</c:v>
                </c:pt>
                <c:pt idx="297">
                  <c:v>-292.92934444444438</c:v>
                </c:pt>
                <c:pt idx="298">
                  <c:v>-268.92934444444438</c:v>
                </c:pt>
                <c:pt idx="299">
                  <c:v>-261.68489999999986</c:v>
                </c:pt>
                <c:pt idx="300">
                  <c:v>-300.58490000000006</c:v>
                </c:pt>
                <c:pt idx="301">
                  <c:v>-337.21823333333322</c:v>
                </c:pt>
                <c:pt idx="302">
                  <c:v>-334.17378888888874</c:v>
                </c:pt>
                <c:pt idx="303">
                  <c:v>-324.15156666666678</c:v>
                </c:pt>
                <c:pt idx="304">
                  <c:v>-333.31823333333318</c:v>
                </c:pt>
                <c:pt idx="305">
                  <c:v>-332.19601111111098</c:v>
                </c:pt>
                <c:pt idx="306">
                  <c:v>-307.88744444444444</c:v>
                </c:pt>
                <c:pt idx="307">
                  <c:v>-331.7874444444443</c:v>
                </c:pt>
                <c:pt idx="308">
                  <c:v>-305.64299999999992</c:v>
                </c:pt>
                <c:pt idx="309">
                  <c:v>-251.14300000000003</c:v>
                </c:pt>
                <c:pt idx="310">
                  <c:v>-263.57633333333337</c:v>
                </c:pt>
                <c:pt idx="311">
                  <c:v>-327.03188888888889</c:v>
                </c:pt>
                <c:pt idx="312">
                  <c:v>-327.70966666666675</c:v>
                </c:pt>
                <c:pt idx="313">
                  <c:v>-334.97633333333329</c:v>
                </c:pt>
                <c:pt idx="314">
                  <c:v>-324.35411111111108</c:v>
                </c:pt>
                <c:pt idx="315">
                  <c:v>-321.44554444444441</c:v>
                </c:pt>
                <c:pt idx="316">
                  <c:v>-315.94554444444441</c:v>
                </c:pt>
                <c:pt idx="317">
                  <c:v>-354.00109999999984</c:v>
                </c:pt>
                <c:pt idx="318">
                  <c:v>-332.2011</c:v>
                </c:pt>
                <c:pt idx="319">
                  <c:v>-313.03443333333342</c:v>
                </c:pt>
                <c:pt idx="320">
                  <c:v>-355.08998888888885</c:v>
                </c:pt>
                <c:pt idx="321">
                  <c:v>-331.96776666666676</c:v>
                </c:pt>
                <c:pt idx="322">
                  <c:v>-305.7344333333333</c:v>
                </c:pt>
                <c:pt idx="323">
                  <c:v>-257.81221111111114</c:v>
                </c:pt>
                <c:pt idx="324">
                  <c:v>-273.90364444444447</c:v>
                </c:pt>
                <c:pt idx="325">
                  <c:v>-206.30364444444436</c:v>
                </c:pt>
                <c:pt idx="326">
                  <c:v>-193.75919999999988</c:v>
                </c:pt>
                <c:pt idx="327">
                  <c:v>-246.55919999999992</c:v>
                </c:pt>
                <c:pt idx="328">
                  <c:v>-216.59253333333339</c:v>
                </c:pt>
                <c:pt idx="329">
                  <c:v>-244.44808888888878</c:v>
                </c:pt>
                <c:pt idx="330">
                  <c:v>-219.82586666666666</c:v>
                </c:pt>
                <c:pt idx="331">
                  <c:v>-198.8925333333334</c:v>
                </c:pt>
                <c:pt idx="332">
                  <c:v>-248.77031111111097</c:v>
                </c:pt>
                <c:pt idx="333">
                  <c:v>-275.36174444444453</c:v>
                </c:pt>
                <c:pt idx="334">
                  <c:v>-315.26174444444439</c:v>
                </c:pt>
                <c:pt idx="335">
                  <c:v>-397.6173</c:v>
                </c:pt>
                <c:pt idx="336">
                  <c:v>-361.31729999999993</c:v>
                </c:pt>
                <c:pt idx="337">
                  <c:v>-340.65063333333336</c:v>
                </c:pt>
                <c:pt idx="338">
                  <c:v>-344.60618888888888</c:v>
                </c:pt>
                <c:pt idx="339">
                  <c:v>-317.38396666666665</c:v>
                </c:pt>
                <c:pt idx="340">
                  <c:v>-360.15063333333342</c:v>
                </c:pt>
                <c:pt idx="341">
                  <c:v>-380.12841111111112</c:v>
                </c:pt>
                <c:pt idx="342">
                  <c:v>-412.81984444444436</c:v>
                </c:pt>
                <c:pt idx="343">
                  <c:v>-483.81984444444436</c:v>
                </c:pt>
                <c:pt idx="344">
                  <c:v>-530.07540000000006</c:v>
                </c:pt>
                <c:pt idx="345">
                  <c:v>-503.97540000000004</c:v>
                </c:pt>
                <c:pt idx="346">
                  <c:v>-453.10873333333342</c:v>
                </c:pt>
                <c:pt idx="347">
                  <c:v>-440.9642888888888</c:v>
                </c:pt>
                <c:pt idx="348">
                  <c:v>-415.04206666666676</c:v>
                </c:pt>
                <c:pt idx="349">
                  <c:v>-476.10873333333325</c:v>
                </c:pt>
                <c:pt idx="350">
                  <c:v>-498.88651111111113</c:v>
                </c:pt>
                <c:pt idx="351">
                  <c:v>-529.87794444444455</c:v>
                </c:pt>
                <c:pt idx="352">
                  <c:v>-535.37794444444455</c:v>
                </c:pt>
                <c:pt idx="353">
                  <c:v>-587.43349999999998</c:v>
                </c:pt>
                <c:pt idx="354">
                  <c:v>-612.63350000000014</c:v>
                </c:pt>
                <c:pt idx="355">
                  <c:v>-579.26683333333335</c:v>
                </c:pt>
                <c:pt idx="356">
                  <c:v>-538.62238888888896</c:v>
                </c:pt>
                <c:pt idx="357">
                  <c:v>-597.00016666666681</c:v>
                </c:pt>
                <c:pt idx="358">
                  <c:v>-598.06683333333331</c:v>
                </c:pt>
                <c:pt idx="359">
                  <c:v>-618.84461111111113</c:v>
                </c:pt>
                <c:pt idx="360">
                  <c:v>-591.13604444444456</c:v>
                </c:pt>
                <c:pt idx="361">
                  <c:v>-509.73604444444447</c:v>
                </c:pt>
                <c:pt idx="362">
                  <c:v>-531.19159999999999</c:v>
                </c:pt>
                <c:pt idx="363">
                  <c:v>-528.69160000000011</c:v>
                </c:pt>
                <c:pt idx="364">
                  <c:v>-468.72493333333335</c:v>
                </c:pt>
                <c:pt idx="365">
                  <c:v>-464.78048888888878</c:v>
                </c:pt>
                <c:pt idx="366">
                  <c:v>-473.45826666666687</c:v>
                </c:pt>
                <c:pt idx="367">
                  <c:v>-477.72493333333341</c:v>
                </c:pt>
                <c:pt idx="368">
                  <c:v>-465.00271111111107</c:v>
                </c:pt>
                <c:pt idx="369">
                  <c:v>-484.79414444444444</c:v>
                </c:pt>
                <c:pt idx="370">
                  <c:v>-436.5941444444444</c:v>
                </c:pt>
                <c:pt idx="371">
                  <c:v>-459.74969999999996</c:v>
                </c:pt>
                <c:pt idx="372">
                  <c:v>-388.24970000000008</c:v>
                </c:pt>
                <c:pt idx="373">
                  <c:v>-377.78303333333332</c:v>
                </c:pt>
                <c:pt idx="374">
                  <c:v>-374.33858888888898</c:v>
                </c:pt>
                <c:pt idx="375">
                  <c:v>-425.01636666666684</c:v>
                </c:pt>
                <c:pt idx="376">
                  <c:v>-435.58303333333333</c:v>
                </c:pt>
                <c:pt idx="377">
                  <c:v>-469.56081111111104</c:v>
                </c:pt>
                <c:pt idx="378">
                  <c:v>-506.35224444444441</c:v>
                </c:pt>
                <c:pt idx="379">
                  <c:v>-480.35224444444441</c:v>
                </c:pt>
                <c:pt idx="380">
                  <c:v>-474.70780000000002</c:v>
                </c:pt>
                <c:pt idx="381">
                  <c:v>-365.80780000000004</c:v>
                </c:pt>
                <c:pt idx="382">
                  <c:v>-350.24113333333338</c:v>
                </c:pt>
                <c:pt idx="383">
                  <c:v>-345.09668888888899</c:v>
                </c:pt>
                <c:pt idx="384">
                  <c:v>-303.17446666666672</c:v>
                </c:pt>
                <c:pt idx="385">
                  <c:v>-321.6411333333333</c:v>
                </c:pt>
                <c:pt idx="386">
                  <c:v>-356.51891111111109</c:v>
                </c:pt>
                <c:pt idx="387">
                  <c:v>-351.21034444444456</c:v>
                </c:pt>
                <c:pt idx="388">
                  <c:v>-336.81034444444447</c:v>
                </c:pt>
                <c:pt idx="389">
                  <c:v>-348.86590000000012</c:v>
                </c:pt>
                <c:pt idx="390">
                  <c:v>-384.96590000000015</c:v>
                </c:pt>
                <c:pt idx="391">
                  <c:v>-418.09923333333353</c:v>
                </c:pt>
                <c:pt idx="392">
                  <c:v>-389.354788888889</c:v>
                </c:pt>
                <c:pt idx="393">
                  <c:v>-380.03256666666687</c:v>
                </c:pt>
                <c:pt idx="394">
                  <c:v>-394.59923333333336</c:v>
                </c:pt>
                <c:pt idx="395">
                  <c:v>-446.07701111111106</c:v>
                </c:pt>
                <c:pt idx="396">
                  <c:v>-450.26844444444453</c:v>
                </c:pt>
                <c:pt idx="397">
                  <c:v>-458.66844444444462</c:v>
                </c:pt>
                <c:pt idx="398">
                  <c:v>-433.82399999999996</c:v>
                </c:pt>
                <c:pt idx="399">
                  <c:v>-428.72400000000016</c:v>
                </c:pt>
                <c:pt idx="400">
                  <c:v>-410.55733333333336</c:v>
                </c:pt>
                <c:pt idx="401">
                  <c:v>-431.61288888888902</c:v>
                </c:pt>
                <c:pt idx="402">
                  <c:v>-459.49066666666693</c:v>
                </c:pt>
                <c:pt idx="403">
                  <c:v>-498.05733333333342</c:v>
                </c:pt>
                <c:pt idx="404">
                  <c:v>-484.33511111111108</c:v>
                </c:pt>
                <c:pt idx="405">
                  <c:v>-460.92654444444463</c:v>
                </c:pt>
                <c:pt idx="406">
                  <c:v>-496.82654444444449</c:v>
                </c:pt>
                <c:pt idx="407">
                  <c:v>-500.28210000000001</c:v>
                </c:pt>
                <c:pt idx="408">
                  <c:v>-498.18210000000022</c:v>
                </c:pt>
                <c:pt idx="409">
                  <c:v>-554.31543333333343</c:v>
                </c:pt>
                <c:pt idx="410">
                  <c:v>-572.57098888888891</c:v>
                </c:pt>
                <c:pt idx="411">
                  <c:v>-474.24876666666694</c:v>
                </c:pt>
                <c:pt idx="412">
                  <c:v>-429.31543333333343</c:v>
                </c:pt>
                <c:pt idx="413">
                  <c:v>-434.79321111111113</c:v>
                </c:pt>
                <c:pt idx="414">
                  <c:v>-437.68464444444464</c:v>
                </c:pt>
                <c:pt idx="415">
                  <c:v>-511.08464444444451</c:v>
                </c:pt>
                <c:pt idx="416">
                  <c:v>-470.94020000000012</c:v>
                </c:pt>
                <c:pt idx="417">
                  <c:v>-449.54020000000014</c:v>
                </c:pt>
                <c:pt idx="418">
                  <c:v>-359.77353333333366</c:v>
                </c:pt>
                <c:pt idx="419">
                  <c:v>-432.32908888888886</c:v>
                </c:pt>
                <c:pt idx="420">
                  <c:v>-409.40686666666704</c:v>
                </c:pt>
                <c:pt idx="421">
                  <c:v>-384.27353333333326</c:v>
                </c:pt>
                <c:pt idx="422">
                  <c:v>-390.95131111111101</c:v>
                </c:pt>
                <c:pt idx="423">
                  <c:v>-414.74274444444438</c:v>
                </c:pt>
                <c:pt idx="424">
                  <c:v>-448.24274444444438</c:v>
                </c:pt>
                <c:pt idx="425">
                  <c:v>-435.29830000000027</c:v>
                </c:pt>
                <c:pt idx="426">
                  <c:v>-430.89830000000006</c:v>
                </c:pt>
                <c:pt idx="427">
                  <c:v>-449.63163333333358</c:v>
                </c:pt>
                <c:pt idx="428">
                  <c:v>-459.38718888888906</c:v>
                </c:pt>
                <c:pt idx="429">
                  <c:v>-420.46496666666678</c:v>
                </c:pt>
                <c:pt idx="430">
                  <c:v>-443.73163333333355</c:v>
                </c:pt>
                <c:pt idx="431">
                  <c:v>-468.10941111111111</c:v>
                </c:pt>
                <c:pt idx="432">
                  <c:v>-446.5008444444444</c:v>
                </c:pt>
                <c:pt idx="433">
                  <c:v>-411.30084444444458</c:v>
                </c:pt>
                <c:pt idx="434">
                  <c:v>-327.95639999999992</c:v>
                </c:pt>
                <c:pt idx="435">
                  <c:v>-348.45640000000026</c:v>
                </c:pt>
                <c:pt idx="436">
                  <c:v>-345.8897333333336</c:v>
                </c:pt>
                <c:pt idx="437">
                  <c:v>-266.34528888888889</c:v>
                </c:pt>
                <c:pt idx="438">
                  <c:v>-156.52306666666695</c:v>
                </c:pt>
                <c:pt idx="439">
                  <c:v>-135.28973333333329</c:v>
                </c:pt>
                <c:pt idx="440">
                  <c:v>-105.16751111111131</c:v>
                </c:pt>
                <c:pt idx="441">
                  <c:v>-175.75894444444441</c:v>
                </c:pt>
                <c:pt idx="442">
                  <c:v>-225.95894444444471</c:v>
                </c:pt>
                <c:pt idx="443">
                  <c:v>-165.81450000000032</c:v>
                </c:pt>
                <c:pt idx="444">
                  <c:v>-120.41450000000009</c:v>
                </c:pt>
                <c:pt idx="445">
                  <c:v>-199.84783333333343</c:v>
                </c:pt>
                <c:pt idx="446">
                  <c:v>-185.50338888888899</c:v>
                </c:pt>
                <c:pt idx="447">
                  <c:v>-204.78116666666696</c:v>
                </c:pt>
                <c:pt idx="448">
                  <c:v>-188.94783333333339</c:v>
                </c:pt>
                <c:pt idx="449">
                  <c:v>-216.62561111111114</c:v>
                </c:pt>
                <c:pt idx="450">
                  <c:v>-211.8170444444446</c:v>
                </c:pt>
                <c:pt idx="451">
                  <c:v>-164.71704444444472</c:v>
                </c:pt>
                <c:pt idx="452">
                  <c:v>-148.27260000000015</c:v>
                </c:pt>
                <c:pt idx="453">
                  <c:v>-167.07260000000019</c:v>
                </c:pt>
                <c:pt idx="454">
                  <c:v>-181.50593333333353</c:v>
                </c:pt>
                <c:pt idx="455">
                  <c:v>-113.46148888888882</c:v>
                </c:pt>
                <c:pt idx="456">
                  <c:v>-108.23926666666679</c:v>
                </c:pt>
                <c:pt idx="457">
                  <c:v>-52.305933333333314</c:v>
                </c:pt>
                <c:pt idx="458">
                  <c:v>-53.483711111111063</c:v>
                </c:pt>
                <c:pt idx="459">
                  <c:v>-75.975144444444709</c:v>
                </c:pt>
                <c:pt idx="460">
                  <c:v>-101.87514444444483</c:v>
                </c:pt>
                <c:pt idx="461">
                  <c:v>-22.930700000000257</c:v>
                </c:pt>
                <c:pt idx="462">
                  <c:v>15.269299999999703</c:v>
                </c:pt>
                <c:pt idx="463">
                  <c:v>52.835966666666366</c:v>
                </c:pt>
                <c:pt idx="464">
                  <c:v>55.280411111111164</c:v>
                </c:pt>
                <c:pt idx="465">
                  <c:v>65.402633333333284</c:v>
                </c:pt>
                <c:pt idx="466">
                  <c:v>110.63596666666649</c:v>
                </c:pt>
                <c:pt idx="467">
                  <c:v>113.15818888888856</c:v>
                </c:pt>
                <c:pt idx="468">
                  <c:v>116.36675555555519</c:v>
                </c:pt>
                <c:pt idx="469">
                  <c:v>62.866755555555159</c:v>
                </c:pt>
                <c:pt idx="470">
                  <c:v>-69.188800000000271</c:v>
                </c:pt>
                <c:pt idx="471">
                  <c:v>76.311199999999872</c:v>
                </c:pt>
                <c:pt idx="472">
                  <c:v>36.477866666666444</c:v>
                </c:pt>
                <c:pt idx="473">
                  <c:v>17.822311111110878</c:v>
                </c:pt>
                <c:pt idx="474">
                  <c:v>22.24453333333318</c:v>
                </c:pt>
                <c:pt idx="475">
                  <c:v>-16.122133333333522</c:v>
                </c:pt>
                <c:pt idx="476">
                  <c:v>-39.89991111111118</c:v>
                </c:pt>
                <c:pt idx="477">
                  <c:v>-7.391344444444826</c:v>
                </c:pt>
                <c:pt idx="478">
                  <c:v>55.908655555555328</c:v>
                </c:pt>
                <c:pt idx="479">
                  <c:v>81.053099999999716</c:v>
                </c:pt>
                <c:pt idx="480">
                  <c:v>114.85309999999959</c:v>
                </c:pt>
                <c:pt idx="481">
                  <c:v>161.21976666666643</c:v>
                </c:pt>
                <c:pt idx="482">
                  <c:v>216.56421111111086</c:v>
                </c:pt>
                <c:pt idx="483">
                  <c:v>219.48643333333317</c:v>
                </c:pt>
                <c:pt idx="484">
                  <c:v>262.61976666666646</c:v>
                </c:pt>
                <c:pt idx="485">
                  <c:v>160.94198888888872</c:v>
                </c:pt>
                <c:pt idx="486">
                  <c:v>251.55055555555543</c:v>
                </c:pt>
                <c:pt idx="487">
                  <c:v>311.75055555555525</c:v>
                </c:pt>
                <c:pt idx="488">
                  <c:v>324.69499999999982</c:v>
                </c:pt>
                <c:pt idx="489">
                  <c:v>407.19499999999994</c:v>
                </c:pt>
                <c:pt idx="490">
                  <c:v>332.36166666666651</c:v>
                </c:pt>
                <c:pt idx="491">
                  <c:v>529.70611111111089</c:v>
                </c:pt>
                <c:pt idx="492">
                  <c:v>614.62833333333322</c:v>
                </c:pt>
                <c:pt idx="493">
                  <c:v>576.36166666666645</c:v>
                </c:pt>
                <c:pt idx="494">
                  <c:v>554.88388888888858</c:v>
                </c:pt>
                <c:pt idx="495">
                  <c:v>636.69245555555551</c:v>
                </c:pt>
                <c:pt idx="496">
                  <c:v>468.09245555555515</c:v>
                </c:pt>
                <c:pt idx="497">
                  <c:v>640.23689999999999</c:v>
                </c:pt>
                <c:pt idx="498">
                  <c:v>579.03689999999983</c:v>
                </c:pt>
                <c:pt idx="499">
                  <c:v>599.80356666666626</c:v>
                </c:pt>
                <c:pt idx="500">
                  <c:v>708.54801111111078</c:v>
                </c:pt>
                <c:pt idx="501">
                  <c:v>643.47023333333311</c:v>
                </c:pt>
                <c:pt idx="502">
                  <c:v>551.20356666666635</c:v>
                </c:pt>
                <c:pt idx="503">
                  <c:v>652.72578888888893</c:v>
                </c:pt>
                <c:pt idx="504">
                  <c:v>656.63435555555532</c:v>
                </c:pt>
                <c:pt idx="505">
                  <c:v>639.53435555555541</c:v>
                </c:pt>
                <c:pt idx="506">
                  <c:v>611.27879999999971</c:v>
                </c:pt>
                <c:pt idx="507">
                  <c:v>634.17879999999991</c:v>
                </c:pt>
                <c:pt idx="508">
                  <c:v>729.74546666666652</c:v>
                </c:pt>
                <c:pt idx="509">
                  <c:v>611.08991111111095</c:v>
                </c:pt>
                <c:pt idx="510">
                  <c:v>648.61213333333319</c:v>
                </c:pt>
                <c:pt idx="511">
                  <c:v>750.44546666666633</c:v>
                </c:pt>
              </c:numCache>
            </c:numRef>
          </c:yVal>
          <c:smooth val="0"/>
          <c:extLst>
            <c:ext xmlns:c16="http://schemas.microsoft.com/office/drawing/2014/chart" uri="{C3380CC4-5D6E-409C-BE32-E72D297353CC}">
              <c16:uniqueId val="{00000000-8538-46E0-BF71-1CC97ECDD1B7}"/>
            </c:ext>
          </c:extLst>
        </c:ser>
        <c:dLbls>
          <c:showLegendKey val="0"/>
          <c:showVal val="0"/>
          <c:showCatName val="0"/>
          <c:showSerName val="0"/>
          <c:showPercent val="0"/>
          <c:showBubbleSize val="0"/>
        </c:dLbls>
        <c:axId val="464484336"/>
        <c:axId val="464501136"/>
      </c:scatterChart>
      <c:valAx>
        <c:axId val="4644843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64501136"/>
        <c:crosses val="autoZero"/>
        <c:crossBetween val="midCat"/>
      </c:valAx>
      <c:valAx>
        <c:axId val="46450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64484336"/>
        <c:crosses val="autoZero"/>
        <c:crossBetween val="midCat"/>
      </c:valAx>
      <c:spPr>
        <a:noFill/>
        <a:ln>
          <a:noFill/>
        </a:ln>
        <a:effectLst/>
      </c:spPr>
    </c:plotArea>
    <c:legend>
      <c:legendPos val="r"/>
      <c:layout>
        <c:manualLayout>
          <c:xMode val="edge"/>
          <c:yMode val="edge"/>
          <c:x val="0.73695858683149396"/>
          <c:y val="0.83156614379916005"/>
          <c:w val="0.24605161226950112"/>
          <c:h val="0.168433768050435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Χρονοσειρά</a:t>
            </a:r>
            <a:r>
              <a:rPr lang="el-GR" baseline="0"/>
              <a:t> κινητού Μ.Ο </a:t>
            </a:r>
            <a:r>
              <a:rPr lang="el-GR" sz="1100" b="0" i="0" u="none" strike="noStrike" kern="1200" spc="0" baseline="0">
                <a:solidFill>
                  <a:sysClr val="windowText" lastClr="000000">
                    <a:lumMod val="65000"/>
                    <a:lumOff val="35000"/>
                  </a:sysClr>
                </a:solidFill>
              </a:rPr>
              <a:t> </a:t>
            </a:r>
            <a:r>
              <a:rPr lang="en-US" sz="1100" b="0" i="0" u="none" strike="noStrike" kern="1200" spc="0" baseline="0">
                <a:solidFill>
                  <a:sysClr val="windowText" lastClr="000000">
                    <a:lumMod val="65000"/>
                    <a:lumOff val="35000"/>
                  </a:sysClr>
                </a:solidFill>
              </a:rPr>
              <a:t>P</a:t>
            </a:r>
            <a:r>
              <a:rPr lang="el-GR" baseline="0"/>
              <a:t> ανά </a:t>
            </a:r>
            <a:r>
              <a:rPr lang="el-GR"/>
              <a:t>20 διαδοχικών βημάτων</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scatterChart>
        <c:scatterStyle val="line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48795724235405896"/>
                  <c:y val="-0.143288130650335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trendlineLbl>
          </c:trendline>
          <c:yVal>
            <c:numRef>
              <c:f>'Gold Futures Historical Data'!$L$2:$L$513</c:f>
              <c:numCache>
                <c:formatCode>General</c:formatCode>
                <c:ptCount val="512"/>
                <c:pt idx="0">
                  <c:v>1183.9549999999997</c:v>
                </c:pt>
                <c:pt idx="1">
                  <c:v>1195.405</c:v>
                </c:pt>
                <c:pt idx="2">
                  <c:v>1205.2449999999999</c:v>
                </c:pt>
                <c:pt idx="3">
                  <c:v>1214.8800000000001</c:v>
                </c:pt>
                <c:pt idx="4">
                  <c:v>1220.8200000000002</c:v>
                </c:pt>
                <c:pt idx="5">
                  <c:v>1228.4300000000003</c:v>
                </c:pt>
                <c:pt idx="6">
                  <c:v>1237.4100000000003</c:v>
                </c:pt>
                <c:pt idx="7">
                  <c:v>1246.3300000000004</c:v>
                </c:pt>
                <c:pt idx="8">
                  <c:v>1254.5650000000003</c:v>
                </c:pt>
                <c:pt idx="9">
                  <c:v>1259.5450000000003</c:v>
                </c:pt>
                <c:pt idx="10">
                  <c:v>1265.9250000000002</c:v>
                </c:pt>
                <c:pt idx="11">
                  <c:v>1271.2750000000003</c:v>
                </c:pt>
                <c:pt idx="12">
                  <c:v>1273.9100000000003</c:v>
                </c:pt>
                <c:pt idx="13">
                  <c:v>1278.8150000000003</c:v>
                </c:pt>
                <c:pt idx="14">
                  <c:v>1283.3200000000002</c:v>
                </c:pt>
                <c:pt idx="15">
                  <c:v>1289.4000000000003</c:v>
                </c:pt>
                <c:pt idx="16">
                  <c:v>1295.5350000000003</c:v>
                </c:pt>
                <c:pt idx="17">
                  <c:v>1299.6400000000003</c:v>
                </c:pt>
                <c:pt idx="18">
                  <c:v>1304.2450000000003</c:v>
                </c:pt>
                <c:pt idx="19">
                  <c:v>1309.4700000000003</c:v>
                </c:pt>
                <c:pt idx="20">
                  <c:v>1310.4550000000004</c:v>
                </c:pt>
                <c:pt idx="21">
                  <c:v>1312.8400000000004</c:v>
                </c:pt>
                <c:pt idx="22">
                  <c:v>1315.06</c:v>
                </c:pt>
                <c:pt idx="23">
                  <c:v>1315.0100000000002</c:v>
                </c:pt>
                <c:pt idx="24">
                  <c:v>1316.9500000000003</c:v>
                </c:pt>
                <c:pt idx="25">
                  <c:v>1318.19</c:v>
                </c:pt>
                <c:pt idx="26">
                  <c:v>1318.2350000000001</c:v>
                </c:pt>
                <c:pt idx="27">
                  <c:v>1318.72</c:v>
                </c:pt>
                <c:pt idx="28">
                  <c:v>1313.8150000000001</c:v>
                </c:pt>
                <c:pt idx="29">
                  <c:v>1307.3000000000002</c:v>
                </c:pt>
                <c:pt idx="30">
                  <c:v>1298.3000000000002</c:v>
                </c:pt>
                <c:pt idx="31">
                  <c:v>1290.8200000000002</c:v>
                </c:pt>
                <c:pt idx="32">
                  <c:v>1282.7450000000003</c:v>
                </c:pt>
                <c:pt idx="33">
                  <c:v>1271.7400000000002</c:v>
                </c:pt>
                <c:pt idx="34">
                  <c:v>1261.2000000000003</c:v>
                </c:pt>
                <c:pt idx="35">
                  <c:v>1251.6250000000002</c:v>
                </c:pt>
                <c:pt idx="36">
                  <c:v>1242.9850000000001</c:v>
                </c:pt>
                <c:pt idx="37">
                  <c:v>1236.5000000000002</c:v>
                </c:pt>
                <c:pt idx="38">
                  <c:v>1230.4100000000003</c:v>
                </c:pt>
                <c:pt idx="39">
                  <c:v>1223.105</c:v>
                </c:pt>
                <c:pt idx="40">
                  <c:v>1218.6350000000002</c:v>
                </c:pt>
                <c:pt idx="41">
                  <c:v>1213.3450000000003</c:v>
                </c:pt>
                <c:pt idx="42">
                  <c:v>1209.4450000000002</c:v>
                </c:pt>
                <c:pt idx="43">
                  <c:v>1209.7649999999999</c:v>
                </c:pt>
                <c:pt idx="44">
                  <c:v>1208.3150000000001</c:v>
                </c:pt>
                <c:pt idx="45">
                  <c:v>1205.0000000000002</c:v>
                </c:pt>
                <c:pt idx="46">
                  <c:v>1202.67</c:v>
                </c:pt>
                <c:pt idx="47">
                  <c:v>1199.8700000000001</c:v>
                </c:pt>
                <c:pt idx="48">
                  <c:v>1201.2150000000001</c:v>
                </c:pt>
                <c:pt idx="49">
                  <c:v>1203.645</c:v>
                </c:pt>
                <c:pt idx="50">
                  <c:v>1209.1500000000001</c:v>
                </c:pt>
                <c:pt idx="51">
                  <c:v>1214.7149999999999</c:v>
                </c:pt>
                <c:pt idx="52">
                  <c:v>1220.0349999999999</c:v>
                </c:pt>
                <c:pt idx="53">
                  <c:v>1224.51</c:v>
                </c:pt>
                <c:pt idx="54">
                  <c:v>1229.2149999999999</c:v>
                </c:pt>
                <c:pt idx="55">
                  <c:v>1234.31</c:v>
                </c:pt>
                <c:pt idx="56">
                  <c:v>1239.0449999999998</c:v>
                </c:pt>
                <c:pt idx="57">
                  <c:v>1243.2450000000001</c:v>
                </c:pt>
                <c:pt idx="58">
                  <c:v>1246.5700000000002</c:v>
                </c:pt>
                <c:pt idx="59">
                  <c:v>1249.9749999999999</c:v>
                </c:pt>
                <c:pt idx="60">
                  <c:v>1251.7550000000001</c:v>
                </c:pt>
                <c:pt idx="61">
                  <c:v>1252.075</c:v>
                </c:pt>
                <c:pt idx="62">
                  <c:v>1250.605</c:v>
                </c:pt>
                <c:pt idx="63">
                  <c:v>1249.0650000000001</c:v>
                </c:pt>
                <c:pt idx="64">
                  <c:v>1250.4850000000001</c:v>
                </c:pt>
                <c:pt idx="65">
                  <c:v>1254.18</c:v>
                </c:pt>
                <c:pt idx="66">
                  <c:v>1255.9000000000001</c:v>
                </c:pt>
                <c:pt idx="67">
                  <c:v>1258.1750000000002</c:v>
                </c:pt>
                <c:pt idx="68">
                  <c:v>1260.1949999999999</c:v>
                </c:pt>
                <c:pt idx="69">
                  <c:v>1262.2249999999999</c:v>
                </c:pt>
                <c:pt idx="70">
                  <c:v>1264.3200000000002</c:v>
                </c:pt>
                <c:pt idx="71">
                  <c:v>1267.425</c:v>
                </c:pt>
                <c:pt idx="72">
                  <c:v>1270.27</c:v>
                </c:pt>
                <c:pt idx="73">
                  <c:v>1273.8</c:v>
                </c:pt>
                <c:pt idx="74">
                  <c:v>1276.6550000000002</c:v>
                </c:pt>
                <c:pt idx="75">
                  <c:v>1277.7200000000003</c:v>
                </c:pt>
                <c:pt idx="76">
                  <c:v>1279.5450000000001</c:v>
                </c:pt>
                <c:pt idx="77">
                  <c:v>1279.56</c:v>
                </c:pt>
                <c:pt idx="78">
                  <c:v>1279.58</c:v>
                </c:pt>
                <c:pt idx="79">
                  <c:v>1280.2149999999999</c:v>
                </c:pt>
                <c:pt idx="80">
                  <c:v>1281.105</c:v>
                </c:pt>
                <c:pt idx="81">
                  <c:v>1283.8150000000001</c:v>
                </c:pt>
                <c:pt idx="82">
                  <c:v>1287.6949999999999</c:v>
                </c:pt>
                <c:pt idx="83">
                  <c:v>1290.4349999999999</c:v>
                </c:pt>
                <c:pt idx="84">
                  <c:v>1290.1100000000001</c:v>
                </c:pt>
                <c:pt idx="85">
                  <c:v>1289.22</c:v>
                </c:pt>
                <c:pt idx="86">
                  <c:v>1289.9299999999998</c:v>
                </c:pt>
                <c:pt idx="87">
                  <c:v>1290.6949999999999</c:v>
                </c:pt>
                <c:pt idx="88">
                  <c:v>1292.23</c:v>
                </c:pt>
                <c:pt idx="89">
                  <c:v>1294.0800000000002</c:v>
                </c:pt>
                <c:pt idx="90">
                  <c:v>1294.2149999999999</c:v>
                </c:pt>
                <c:pt idx="91">
                  <c:v>1294.2599999999998</c:v>
                </c:pt>
                <c:pt idx="92">
                  <c:v>1294.8649999999998</c:v>
                </c:pt>
                <c:pt idx="93">
                  <c:v>1295.7749999999999</c:v>
                </c:pt>
                <c:pt idx="94">
                  <c:v>1299.3449999999998</c:v>
                </c:pt>
                <c:pt idx="95">
                  <c:v>1302.1149999999998</c:v>
                </c:pt>
                <c:pt idx="96">
                  <c:v>1303.0549999999998</c:v>
                </c:pt>
                <c:pt idx="97">
                  <c:v>1305.23</c:v>
                </c:pt>
                <c:pt idx="98">
                  <c:v>1307.2549999999999</c:v>
                </c:pt>
                <c:pt idx="99">
                  <c:v>1311.2900000000002</c:v>
                </c:pt>
                <c:pt idx="100">
                  <c:v>1313.9450000000002</c:v>
                </c:pt>
                <c:pt idx="101">
                  <c:v>1315.925</c:v>
                </c:pt>
                <c:pt idx="102">
                  <c:v>1318.9550000000002</c:v>
                </c:pt>
                <c:pt idx="103">
                  <c:v>1321.7550000000001</c:v>
                </c:pt>
                <c:pt idx="104">
                  <c:v>1325.5050000000001</c:v>
                </c:pt>
                <c:pt idx="105">
                  <c:v>1328.3650000000002</c:v>
                </c:pt>
                <c:pt idx="106">
                  <c:v>1330.46</c:v>
                </c:pt>
                <c:pt idx="107">
                  <c:v>1329.56</c:v>
                </c:pt>
                <c:pt idx="108">
                  <c:v>1328.6299999999999</c:v>
                </c:pt>
                <c:pt idx="109">
                  <c:v>1326.85</c:v>
                </c:pt>
                <c:pt idx="110">
                  <c:v>1325.3300000000002</c:v>
                </c:pt>
                <c:pt idx="111">
                  <c:v>1321.65</c:v>
                </c:pt>
                <c:pt idx="112">
                  <c:v>1318.3200000000002</c:v>
                </c:pt>
                <c:pt idx="113">
                  <c:v>1315.26</c:v>
                </c:pt>
                <c:pt idx="114">
                  <c:v>1310.24</c:v>
                </c:pt>
                <c:pt idx="115">
                  <c:v>1305.7850000000001</c:v>
                </c:pt>
                <c:pt idx="116">
                  <c:v>1301.17</c:v>
                </c:pt>
                <c:pt idx="117">
                  <c:v>1296.1200000000001</c:v>
                </c:pt>
                <c:pt idx="118">
                  <c:v>1291.6650000000002</c:v>
                </c:pt>
                <c:pt idx="119">
                  <c:v>1285.1199999999999</c:v>
                </c:pt>
                <c:pt idx="120">
                  <c:v>1277.9650000000001</c:v>
                </c:pt>
                <c:pt idx="121">
                  <c:v>1271.825</c:v>
                </c:pt>
                <c:pt idx="122">
                  <c:v>1264.7649999999999</c:v>
                </c:pt>
                <c:pt idx="123">
                  <c:v>1257.8700000000003</c:v>
                </c:pt>
                <c:pt idx="124">
                  <c:v>1251.7550000000001</c:v>
                </c:pt>
                <c:pt idx="125">
                  <c:v>1246.085</c:v>
                </c:pt>
                <c:pt idx="126">
                  <c:v>1239.8600000000001</c:v>
                </c:pt>
                <c:pt idx="127">
                  <c:v>1235.575</c:v>
                </c:pt>
                <c:pt idx="128">
                  <c:v>1231.49</c:v>
                </c:pt>
                <c:pt idx="129">
                  <c:v>1227.96</c:v>
                </c:pt>
                <c:pt idx="130">
                  <c:v>1224.615</c:v>
                </c:pt>
                <c:pt idx="131">
                  <c:v>1222.355</c:v>
                </c:pt>
                <c:pt idx="132">
                  <c:v>1219.2499999999998</c:v>
                </c:pt>
                <c:pt idx="133">
                  <c:v>1217.6749999999997</c:v>
                </c:pt>
                <c:pt idx="134">
                  <c:v>1216.0450000000001</c:v>
                </c:pt>
                <c:pt idx="135">
                  <c:v>1215.2849999999999</c:v>
                </c:pt>
                <c:pt idx="136">
                  <c:v>1216.3599999999999</c:v>
                </c:pt>
                <c:pt idx="137">
                  <c:v>1217.28</c:v>
                </c:pt>
                <c:pt idx="138">
                  <c:v>1219.0250000000001</c:v>
                </c:pt>
                <c:pt idx="139">
                  <c:v>1222.2249999999999</c:v>
                </c:pt>
                <c:pt idx="140">
                  <c:v>1227.3049999999998</c:v>
                </c:pt>
                <c:pt idx="141">
                  <c:v>1231.115</c:v>
                </c:pt>
                <c:pt idx="142">
                  <c:v>1234.9099999999999</c:v>
                </c:pt>
                <c:pt idx="143">
                  <c:v>1239.7949999999996</c:v>
                </c:pt>
                <c:pt idx="144">
                  <c:v>1245.8449999999998</c:v>
                </c:pt>
                <c:pt idx="145">
                  <c:v>1251.7049999999997</c:v>
                </c:pt>
                <c:pt idx="146">
                  <c:v>1257.9999999999998</c:v>
                </c:pt>
                <c:pt idx="147">
                  <c:v>1264.3599999999997</c:v>
                </c:pt>
                <c:pt idx="148">
                  <c:v>1268.2199999999998</c:v>
                </c:pt>
                <c:pt idx="149">
                  <c:v>1271.7499999999998</c:v>
                </c:pt>
                <c:pt idx="150">
                  <c:v>1275.105</c:v>
                </c:pt>
                <c:pt idx="151">
                  <c:v>1279.0549999999998</c:v>
                </c:pt>
                <c:pt idx="152">
                  <c:v>1283.8499999999999</c:v>
                </c:pt>
                <c:pt idx="153">
                  <c:v>1287.7850000000001</c:v>
                </c:pt>
                <c:pt idx="154">
                  <c:v>1291.6850000000002</c:v>
                </c:pt>
                <c:pt idx="155">
                  <c:v>1294.4850000000001</c:v>
                </c:pt>
                <c:pt idx="156">
                  <c:v>1296.595</c:v>
                </c:pt>
                <c:pt idx="157">
                  <c:v>1298.885</c:v>
                </c:pt>
                <c:pt idx="158">
                  <c:v>1300.645</c:v>
                </c:pt>
                <c:pt idx="159">
                  <c:v>1300.5650000000001</c:v>
                </c:pt>
                <c:pt idx="160">
                  <c:v>1300.7350000000001</c:v>
                </c:pt>
                <c:pt idx="161">
                  <c:v>1302.105</c:v>
                </c:pt>
                <c:pt idx="162">
                  <c:v>1305.5650000000001</c:v>
                </c:pt>
                <c:pt idx="163">
                  <c:v>1308.1800000000003</c:v>
                </c:pt>
                <c:pt idx="164">
                  <c:v>1312.3700000000003</c:v>
                </c:pt>
                <c:pt idx="165">
                  <c:v>1317.4250000000002</c:v>
                </c:pt>
                <c:pt idx="166">
                  <c:v>1321.6350000000002</c:v>
                </c:pt>
                <c:pt idx="167">
                  <c:v>1325.92</c:v>
                </c:pt>
                <c:pt idx="168">
                  <c:v>1332.6200000000001</c:v>
                </c:pt>
                <c:pt idx="169">
                  <c:v>1338.9500000000003</c:v>
                </c:pt>
                <c:pt idx="170">
                  <c:v>1346.68</c:v>
                </c:pt>
                <c:pt idx="171">
                  <c:v>1356.49</c:v>
                </c:pt>
                <c:pt idx="172">
                  <c:v>1367.4449999999999</c:v>
                </c:pt>
                <c:pt idx="173">
                  <c:v>1379.24</c:v>
                </c:pt>
                <c:pt idx="174">
                  <c:v>1390.65</c:v>
                </c:pt>
                <c:pt idx="175">
                  <c:v>1402.325</c:v>
                </c:pt>
                <c:pt idx="176">
                  <c:v>1412.56</c:v>
                </c:pt>
                <c:pt idx="177">
                  <c:v>1423.9549999999999</c:v>
                </c:pt>
                <c:pt idx="178">
                  <c:v>1434.9449999999997</c:v>
                </c:pt>
                <c:pt idx="179">
                  <c:v>1446.86</c:v>
                </c:pt>
                <c:pt idx="180">
                  <c:v>1457.1749999999997</c:v>
                </c:pt>
                <c:pt idx="181">
                  <c:v>1466.3799999999999</c:v>
                </c:pt>
                <c:pt idx="182">
                  <c:v>1474.405</c:v>
                </c:pt>
                <c:pt idx="183">
                  <c:v>1482.81</c:v>
                </c:pt>
                <c:pt idx="184">
                  <c:v>1486.0049999999997</c:v>
                </c:pt>
                <c:pt idx="185">
                  <c:v>1488.7949999999998</c:v>
                </c:pt>
                <c:pt idx="186">
                  <c:v>1492.0050000000001</c:v>
                </c:pt>
                <c:pt idx="187">
                  <c:v>1494.9850000000001</c:v>
                </c:pt>
                <c:pt idx="188">
                  <c:v>1496.8600000000001</c:v>
                </c:pt>
                <c:pt idx="189">
                  <c:v>1499.91</c:v>
                </c:pt>
                <c:pt idx="190">
                  <c:v>1501.365</c:v>
                </c:pt>
                <c:pt idx="191">
                  <c:v>1502.145</c:v>
                </c:pt>
                <c:pt idx="192">
                  <c:v>1503.9</c:v>
                </c:pt>
                <c:pt idx="193">
                  <c:v>1505.3400000000001</c:v>
                </c:pt>
                <c:pt idx="194">
                  <c:v>1507.1950000000002</c:v>
                </c:pt>
                <c:pt idx="195">
                  <c:v>1510.33</c:v>
                </c:pt>
                <c:pt idx="196">
                  <c:v>1515.0449999999998</c:v>
                </c:pt>
                <c:pt idx="197">
                  <c:v>1518.25</c:v>
                </c:pt>
                <c:pt idx="198">
                  <c:v>1522.19</c:v>
                </c:pt>
                <c:pt idx="199">
                  <c:v>1528.9350000000002</c:v>
                </c:pt>
                <c:pt idx="200">
                  <c:v>1532.7500000000002</c:v>
                </c:pt>
                <c:pt idx="201">
                  <c:v>1541.5050000000001</c:v>
                </c:pt>
                <c:pt idx="202">
                  <c:v>1541.8650000000002</c:v>
                </c:pt>
                <c:pt idx="203">
                  <c:v>1540.3449999999998</c:v>
                </c:pt>
                <c:pt idx="204">
                  <c:v>1549.56</c:v>
                </c:pt>
                <c:pt idx="205">
                  <c:v>1558.0650000000001</c:v>
                </c:pt>
                <c:pt idx="206">
                  <c:v>1572.1449999999998</c:v>
                </c:pt>
                <c:pt idx="207">
                  <c:v>1583.2449999999997</c:v>
                </c:pt>
                <c:pt idx="208">
                  <c:v>1596.6949999999997</c:v>
                </c:pt>
                <c:pt idx="209">
                  <c:v>1607.7099999999996</c:v>
                </c:pt>
                <c:pt idx="210">
                  <c:v>1619.7099999999996</c:v>
                </c:pt>
                <c:pt idx="211">
                  <c:v>1631.9049999999997</c:v>
                </c:pt>
                <c:pt idx="212">
                  <c:v>1641.6449999999998</c:v>
                </c:pt>
                <c:pt idx="213">
                  <c:v>1651.36</c:v>
                </c:pt>
                <c:pt idx="214">
                  <c:v>1657.7400000000002</c:v>
                </c:pt>
                <c:pt idx="215">
                  <c:v>1666.1399999999999</c:v>
                </c:pt>
                <c:pt idx="216">
                  <c:v>1674.5</c:v>
                </c:pt>
                <c:pt idx="217">
                  <c:v>1685.03</c:v>
                </c:pt>
                <c:pt idx="218">
                  <c:v>1695.4849999999999</c:v>
                </c:pt>
                <c:pt idx="219">
                  <c:v>1702.85</c:v>
                </c:pt>
                <c:pt idx="220">
                  <c:v>1715.0400000000002</c:v>
                </c:pt>
                <c:pt idx="221">
                  <c:v>1722.28</c:v>
                </c:pt>
                <c:pt idx="222">
                  <c:v>1741.81</c:v>
                </c:pt>
                <c:pt idx="223">
                  <c:v>1766.7</c:v>
                </c:pt>
                <c:pt idx="224">
                  <c:v>1785.395</c:v>
                </c:pt>
                <c:pt idx="225">
                  <c:v>1800.6100000000001</c:v>
                </c:pt>
                <c:pt idx="226">
                  <c:v>1810.3550000000002</c:v>
                </c:pt>
                <c:pt idx="227">
                  <c:v>1824.095</c:v>
                </c:pt>
                <c:pt idx="228">
                  <c:v>1833.825</c:v>
                </c:pt>
                <c:pt idx="229">
                  <c:v>1845.8600000000001</c:v>
                </c:pt>
                <c:pt idx="230">
                  <c:v>1857.6350000000002</c:v>
                </c:pt>
                <c:pt idx="231">
                  <c:v>1862.55</c:v>
                </c:pt>
                <c:pt idx="232">
                  <c:v>1870.6100000000001</c:v>
                </c:pt>
                <c:pt idx="233">
                  <c:v>1879.2549999999999</c:v>
                </c:pt>
                <c:pt idx="234">
                  <c:v>1890.25</c:v>
                </c:pt>
                <c:pt idx="235">
                  <c:v>1898.575</c:v>
                </c:pt>
                <c:pt idx="236">
                  <c:v>1904.8849999999998</c:v>
                </c:pt>
                <c:pt idx="237">
                  <c:v>1913.3499999999997</c:v>
                </c:pt>
                <c:pt idx="238">
                  <c:v>1917.9499999999996</c:v>
                </c:pt>
                <c:pt idx="239">
                  <c:v>1921.7649999999999</c:v>
                </c:pt>
                <c:pt idx="240">
                  <c:v>1920.5899999999997</c:v>
                </c:pt>
                <c:pt idx="241">
                  <c:v>1921.7449999999994</c:v>
                </c:pt>
                <c:pt idx="242">
                  <c:v>1918.6199999999997</c:v>
                </c:pt>
                <c:pt idx="243">
                  <c:v>1913.9749999999997</c:v>
                </c:pt>
                <c:pt idx="244">
                  <c:v>1906.9450000000002</c:v>
                </c:pt>
                <c:pt idx="245">
                  <c:v>1904.4349999999999</c:v>
                </c:pt>
                <c:pt idx="246">
                  <c:v>1899.0699999999997</c:v>
                </c:pt>
                <c:pt idx="247">
                  <c:v>1892.0099999999995</c:v>
                </c:pt>
                <c:pt idx="248">
                  <c:v>1888.2899999999997</c:v>
                </c:pt>
                <c:pt idx="249">
                  <c:v>1883.53</c:v>
                </c:pt>
                <c:pt idx="250">
                  <c:v>1876.2049999999999</c:v>
                </c:pt>
                <c:pt idx="251">
                  <c:v>1874.19</c:v>
                </c:pt>
                <c:pt idx="252">
                  <c:v>1867.4700000000005</c:v>
                </c:pt>
                <c:pt idx="253">
                  <c:v>1857.3700000000001</c:v>
                </c:pt>
                <c:pt idx="254">
                  <c:v>1846.75</c:v>
                </c:pt>
                <c:pt idx="255">
                  <c:v>1837.2350000000001</c:v>
                </c:pt>
                <c:pt idx="256">
                  <c:v>1830.0700000000002</c:v>
                </c:pt>
                <c:pt idx="257">
                  <c:v>1818.8499999999997</c:v>
                </c:pt>
                <c:pt idx="258">
                  <c:v>1810.7150000000001</c:v>
                </c:pt>
                <c:pt idx="259">
                  <c:v>1804.1450000000004</c:v>
                </c:pt>
                <c:pt idx="260">
                  <c:v>1803.65</c:v>
                </c:pt>
                <c:pt idx="261">
                  <c:v>1800.4450000000002</c:v>
                </c:pt>
                <c:pt idx="262">
                  <c:v>1796.5549999999998</c:v>
                </c:pt>
                <c:pt idx="263">
                  <c:v>1793.5800000000004</c:v>
                </c:pt>
                <c:pt idx="264">
                  <c:v>1791.2099999999998</c:v>
                </c:pt>
                <c:pt idx="265">
                  <c:v>1790.1750000000004</c:v>
                </c:pt>
                <c:pt idx="266">
                  <c:v>1793.5350000000003</c:v>
                </c:pt>
                <c:pt idx="267">
                  <c:v>1796.5400000000002</c:v>
                </c:pt>
                <c:pt idx="268">
                  <c:v>1797.6300000000003</c:v>
                </c:pt>
                <c:pt idx="269">
                  <c:v>1793.5400000000002</c:v>
                </c:pt>
                <c:pt idx="270">
                  <c:v>1791.7500000000005</c:v>
                </c:pt>
                <c:pt idx="271">
                  <c:v>1789.7100000000003</c:v>
                </c:pt>
                <c:pt idx="272">
                  <c:v>1791.3</c:v>
                </c:pt>
                <c:pt idx="273">
                  <c:v>1795.5549999999998</c:v>
                </c:pt>
                <c:pt idx="274">
                  <c:v>1800.655</c:v>
                </c:pt>
                <c:pt idx="275">
                  <c:v>1805.395</c:v>
                </c:pt>
                <c:pt idx="276">
                  <c:v>1806.355</c:v>
                </c:pt>
                <c:pt idx="277">
                  <c:v>1808.53</c:v>
                </c:pt>
                <c:pt idx="278">
                  <c:v>1811.2149999999997</c:v>
                </c:pt>
                <c:pt idx="279">
                  <c:v>1814.85</c:v>
                </c:pt>
                <c:pt idx="280">
                  <c:v>1817.425</c:v>
                </c:pt>
                <c:pt idx="281">
                  <c:v>1818.0349999999999</c:v>
                </c:pt>
                <c:pt idx="282">
                  <c:v>1817.1149999999998</c:v>
                </c:pt>
                <c:pt idx="283">
                  <c:v>1813.0249999999996</c:v>
                </c:pt>
                <c:pt idx="284">
                  <c:v>1809.03</c:v>
                </c:pt>
                <c:pt idx="285">
                  <c:v>1803.0550000000003</c:v>
                </c:pt>
                <c:pt idx="286">
                  <c:v>1796.22</c:v>
                </c:pt>
                <c:pt idx="287">
                  <c:v>1791.4450000000004</c:v>
                </c:pt>
                <c:pt idx="288">
                  <c:v>1786.6550000000002</c:v>
                </c:pt>
                <c:pt idx="289">
                  <c:v>1789.0600000000002</c:v>
                </c:pt>
                <c:pt idx="290">
                  <c:v>1793.6100000000006</c:v>
                </c:pt>
                <c:pt idx="291">
                  <c:v>1797.0650000000005</c:v>
                </c:pt>
                <c:pt idx="292">
                  <c:v>1795.8650000000002</c:v>
                </c:pt>
                <c:pt idx="293">
                  <c:v>1794.3200000000002</c:v>
                </c:pt>
                <c:pt idx="294">
                  <c:v>1793.4900000000002</c:v>
                </c:pt>
                <c:pt idx="295">
                  <c:v>1792.9950000000001</c:v>
                </c:pt>
                <c:pt idx="296">
                  <c:v>1795.5399999999997</c:v>
                </c:pt>
                <c:pt idx="297">
                  <c:v>1798.1799999999998</c:v>
                </c:pt>
                <c:pt idx="298">
                  <c:v>1798.9749999999997</c:v>
                </c:pt>
                <c:pt idx="299">
                  <c:v>1798.9499999999996</c:v>
                </c:pt>
                <c:pt idx="300">
                  <c:v>1798.9699999999998</c:v>
                </c:pt>
                <c:pt idx="301">
                  <c:v>1798.83</c:v>
                </c:pt>
                <c:pt idx="302">
                  <c:v>1801.8</c:v>
                </c:pt>
                <c:pt idx="303">
                  <c:v>1806.4899999999998</c:v>
                </c:pt>
                <c:pt idx="304">
                  <c:v>1813.6399999999999</c:v>
                </c:pt>
                <c:pt idx="305">
                  <c:v>1820.2099999999998</c:v>
                </c:pt>
                <c:pt idx="306">
                  <c:v>1830.1950000000002</c:v>
                </c:pt>
                <c:pt idx="307">
                  <c:v>1839.75</c:v>
                </c:pt>
                <c:pt idx="308">
                  <c:v>1847.15</c:v>
                </c:pt>
                <c:pt idx="309">
                  <c:v>1854.1899999999998</c:v>
                </c:pt>
                <c:pt idx="310">
                  <c:v>1857.11</c:v>
                </c:pt>
                <c:pt idx="311">
                  <c:v>1862.0049999999999</c:v>
                </c:pt>
                <c:pt idx="312">
                  <c:v>1871.6799999999998</c:v>
                </c:pt>
                <c:pt idx="313">
                  <c:v>1879.4600000000003</c:v>
                </c:pt>
                <c:pt idx="314">
                  <c:v>1886.0400000000002</c:v>
                </c:pt>
                <c:pt idx="315">
                  <c:v>1890.1849999999999</c:v>
                </c:pt>
                <c:pt idx="316">
                  <c:v>1890.2250000000004</c:v>
                </c:pt>
                <c:pt idx="317">
                  <c:v>1891.0950000000005</c:v>
                </c:pt>
                <c:pt idx="318">
                  <c:v>1894.3500000000004</c:v>
                </c:pt>
                <c:pt idx="319">
                  <c:v>1896.3150000000001</c:v>
                </c:pt>
                <c:pt idx="320">
                  <c:v>1898.8050000000003</c:v>
                </c:pt>
                <c:pt idx="321">
                  <c:v>1901.8200000000002</c:v>
                </c:pt>
                <c:pt idx="322">
                  <c:v>1903.2450000000001</c:v>
                </c:pt>
                <c:pt idx="323">
                  <c:v>1901.4900000000002</c:v>
                </c:pt>
                <c:pt idx="324">
                  <c:v>1893.8800000000003</c:v>
                </c:pt>
                <c:pt idx="325">
                  <c:v>1884.92</c:v>
                </c:pt>
                <c:pt idx="326">
                  <c:v>1873.175</c:v>
                </c:pt>
                <c:pt idx="327">
                  <c:v>1862.7950000000005</c:v>
                </c:pt>
                <c:pt idx="328">
                  <c:v>1855.6599999999999</c:v>
                </c:pt>
                <c:pt idx="329">
                  <c:v>1848.4450000000002</c:v>
                </c:pt>
                <c:pt idx="330">
                  <c:v>1840.1299999999999</c:v>
                </c:pt>
                <c:pt idx="331">
                  <c:v>1830.0100000000002</c:v>
                </c:pt>
                <c:pt idx="332">
                  <c:v>1817.06</c:v>
                </c:pt>
                <c:pt idx="333">
                  <c:v>1806.42</c:v>
                </c:pt>
                <c:pt idx="334">
                  <c:v>1794.6649999999997</c:v>
                </c:pt>
                <c:pt idx="335">
                  <c:v>1782.9349999999995</c:v>
                </c:pt>
                <c:pt idx="336">
                  <c:v>1776.4399999999998</c:v>
                </c:pt>
                <c:pt idx="337">
                  <c:v>1770.1599999999999</c:v>
                </c:pt>
                <c:pt idx="338">
                  <c:v>1760.05</c:v>
                </c:pt>
                <c:pt idx="339">
                  <c:v>1750.6449999999998</c:v>
                </c:pt>
                <c:pt idx="340">
                  <c:v>1739.4049999999995</c:v>
                </c:pt>
                <c:pt idx="341">
                  <c:v>1731.4549999999999</c:v>
                </c:pt>
                <c:pt idx="342">
                  <c:v>1728.6649999999997</c:v>
                </c:pt>
                <c:pt idx="343">
                  <c:v>1726.5949999999998</c:v>
                </c:pt>
                <c:pt idx="344">
                  <c:v>1727.4900000000002</c:v>
                </c:pt>
                <c:pt idx="345">
                  <c:v>1733.1449999999998</c:v>
                </c:pt>
                <c:pt idx="346">
                  <c:v>1737.6899999999998</c:v>
                </c:pt>
                <c:pt idx="347">
                  <c:v>1739.3799999999999</c:v>
                </c:pt>
                <c:pt idx="348">
                  <c:v>1740.8100000000002</c:v>
                </c:pt>
                <c:pt idx="349">
                  <c:v>1742.1449999999998</c:v>
                </c:pt>
                <c:pt idx="350">
                  <c:v>1745.3099999999995</c:v>
                </c:pt>
                <c:pt idx="351">
                  <c:v>1752.1149999999998</c:v>
                </c:pt>
                <c:pt idx="352">
                  <c:v>1759.4699999999998</c:v>
                </c:pt>
                <c:pt idx="353">
                  <c:v>1769.9650000000001</c:v>
                </c:pt>
                <c:pt idx="354">
                  <c:v>1783.0350000000003</c:v>
                </c:pt>
                <c:pt idx="355">
                  <c:v>1797.5349999999999</c:v>
                </c:pt>
                <c:pt idx="356">
                  <c:v>1807.9550000000004</c:v>
                </c:pt>
                <c:pt idx="357">
                  <c:v>1816.375</c:v>
                </c:pt>
                <c:pt idx="358">
                  <c:v>1826.5800000000004</c:v>
                </c:pt>
                <c:pt idx="359">
                  <c:v>1834.7650000000001</c:v>
                </c:pt>
                <c:pt idx="360">
                  <c:v>1845.3800000000003</c:v>
                </c:pt>
                <c:pt idx="361">
                  <c:v>1855.0500000000004</c:v>
                </c:pt>
                <c:pt idx="362">
                  <c:v>1865.3849999999998</c:v>
                </c:pt>
                <c:pt idx="363">
                  <c:v>1877.0199999999998</c:v>
                </c:pt>
                <c:pt idx="364">
                  <c:v>1888.7849999999999</c:v>
                </c:pt>
                <c:pt idx="365">
                  <c:v>1899.77</c:v>
                </c:pt>
                <c:pt idx="366">
                  <c:v>1910.1950000000004</c:v>
                </c:pt>
                <c:pt idx="367">
                  <c:v>1919.8750000000005</c:v>
                </c:pt>
                <c:pt idx="368">
                  <c:v>1929.8000000000004</c:v>
                </c:pt>
                <c:pt idx="369">
                  <c:v>1939.9000000000003</c:v>
                </c:pt>
                <c:pt idx="370">
                  <c:v>1950.5450000000001</c:v>
                </c:pt>
                <c:pt idx="371">
                  <c:v>1956.2650000000001</c:v>
                </c:pt>
                <c:pt idx="372">
                  <c:v>1960.9349999999999</c:v>
                </c:pt>
                <c:pt idx="373">
                  <c:v>1963.4650000000001</c:v>
                </c:pt>
                <c:pt idx="374">
                  <c:v>1966.0600000000002</c:v>
                </c:pt>
                <c:pt idx="375">
                  <c:v>1968.3150000000001</c:v>
                </c:pt>
                <c:pt idx="376">
                  <c:v>1971.095</c:v>
                </c:pt>
                <c:pt idx="377">
                  <c:v>1973.9599999999998</c:v>
                </c:pt>
                <c:pt idx="378">
                  <c:v>1978.1949999999997</c:v>
                </c:pt>
                <c:pt idx="379">
                  <c:v>1985.6699999999996</c:v>
                </c:pt>
                <c:pt idx="380">
                  <c:v>1991.39</c:v>
                </c:pt>
                <c:pt idx="381">
                  <c:v>1997.1850000000002</c:v>
                </c:pt>
                <c:pt idx="382">
                  <c:v>1996.48</c:v>
                </c:pt>
                <c:pt idx="383">
                  <c:v>1993.7249999999999</c:v>
                </c:pt>
                <c:pt idx="384">
                  <c:v>1989.3449999999998</c:v>
                </c:pt>
                <c:pt idx="385">
                  <c:v>1984.1200000000001</c:v>
                </c:pt>
                <c:pt idx="386">
                  <c:v>1980.7549999999999</c:v>
                </c:pt>
                <c:pt idx="387">
                  <c:v>1977.4299999999996</c:v>
                </c:pt>
                <c:pt idx="388">
                  <c:v>1973.8249999999996</c:v>
                </c:pt>
                <c:pt idx="389">
                  <c:v>1968.8949999999998</c:v>
                </c:pt>
                <c:pt idx="390">
                  <c:v>1961.2099999999998</c:v>
                </c:pt>
                <c:pt idx="391">
                  <c:v>1954.4150000000002</c:v>
                </c:pt>
                <c:pt idx="392">
                  <c:v>1954.3150000000001</c:v>
                </c:pt>
                <c:pt idx="393">
                  <c:v>1955.5849999999998</c:v>
                </c:pt>
                <c:pt idx="394">
                  <c:v>1956.6799999999998</c:v>
                </c:pt>
                <c:pt idx="395">
                  <c:v>1958.125</c:v>
                </c:pt>
                <c:pt idx="396">
                  <c:v>1958.5649999999998</c:v>
                </c:pt>
                <c:pt idx="397">
                  <c:v>1961.3799999999999</c:v>
                </c:pt>
                <c:pt idx="398">
                  <c:v>1964.9749999999999</c:v>
                </c:pt>
                <c:pt idx="399">
                  <c:v>1971.2649999999999</c:v>
                </c:pt>
                <c:pt idx="400">
                  <c:v>1973.67</c:v>
                </c:pt>
                <c:pt idx="401">
                  <c:v>1976.4349999999999</c:v>
                </c:pt>
                <c:pt idx="402">
                  <c:v>1982.0700000000002</c:v>
                </c:pt>
                <c:pt idx="403">
                  <c:v>1989.33</c:v>
                </c:pt>
                <c:pt idx="404">
                  <c:v>1997.0950000000005</c:v>
                </c:pt>
                <c:pt idx="405">
                  <c:v>2002.5900000000006</c:v>
                </c:pt>
                <c:pt idx="406">
                  <c:v>2007.7200000000005</c:v>
                </c:pt>
                <c:pt idx="407">
                  <c:v>2014.1550000000002</c:v>
                </c:pt>
                <c:pt idx="408">
                  <c:v>2019.2750000000001</c:v>
                </c:pt>
                <c:pt idx="409">
                  <c:v>2023.8</c:v>
                </c:pt>
                <c:pt idx="410">
                  <c:v>2033.2</c:v>
                </c:pt>
                <c:pt idx="411">
                  <c:v>2042.9099999999999</c:v>
                </c:pt>
                <c:pt idx="412">
                  <c:v>2047.05</c:v>
                </c:pt>
                <c:pt idx="413">
                  <c:v>2049.79</c:v>
                </c:pt>
                <c:pt idx="414">
                  <c:v>2054.6549999999997</c:v>
                </c:pt>
                <c:pt idx="415">
                  <c:v>2063.9900000000002</c:v>
                </c:pt>
                <c:pt idx="416">
                  <c:v>2075.2599999999998</c:v>
                </c:pt>
                <c:pt idx="417">
                  <c:v>2084.1</c:v>
                </c:pt>
                <c:pt idx="418">
                  <c:v>2095.8450000000003</c:v>
                </c:pt>
                <c:pt idx="419">
                  <c:v>2108.7149999999997</c:v>
                </c:pt>
                <c:pt idx="420">
                  <c:v>2126.835</c:v>
                </c:pt>
                <c:pt idx="421">
                  <c:v>2145.88</c:v>
                </c:pt>
                <c:pt idx="422">
                  <c:v>2159.9049999999997</c:v>
                </c:pt>
                <c:pt idx="423">
                  <c:v>2171.8450000000003</c:v>
                </c:pt>
                <c:pt idx="424">
                  <c:v>2188.14</c:v>
                </c:pt>
                <c:pt idx="425">
                  <c:v>2207.6699999999996</c:v>
                </c:pt>
                <c:pt idx="426">
                  <c:v>2222.0299999999997</c:v>
                </c:pt>
                <c:pt idx="427">
                  <c:v>2236.8849999999998</c:v>
                </c:pt>
                <c:pt idx="428">
                  <c:v>2251.8349999999996</c:v>
                </c:pt>
                <c:pt idx="429">
                  <c:v>2268.625</c:v>
                </c:pt>
                <c:pt idx="430">
                  <c:v>2282.65</c:v>
                </c:pt>
                <c:pt idx="431">
                  <c:v>2297.8450000000003</c:v>
                </c:pt>
                <c:pt idx="432">
                  <c:v>2316.7050000000004</c:v>
                </c:pt>
                <c:pt idx="433">
                  <c:v>2335.4650000000001</c:v>
                </c:pt>
                <c:pt idx="434">
                  <c:v>2350.8150000000001</c:v>
                </c:pt>
                <c:pt idx="435">
                  <c:v>2360.7249999999999</c:v>
                </c:pt>
                <c:pt idx="436">
                  <c:v>2375.0600000000004</c:v>
                </c:pt>
                <c:pt idx="437">
                  <c:v>2389.6500000000005</c:v>
                </c:pt>
                <c:pt idx="438">
                  <c:v>2403.6200000000003</c:v>
                </c:pt>
                <c:pt idx="439">
                  <c:v>2412.6050000000005</c:v>
                </c:pt>
                <c:pt idx="440">
                  <c:v>2419.1700000000005</c:v>
                </c:pt>
                <c:pt idx="441">
                  <c:v>2423.0250000000005</c:v>
                </c:pt>
                <c:pt idx="442">
                  <c:v>2434.5150000000003</c:v>
                </c:pt>
                <c:pt idx="443">
                  <c:v>2449.7149999999997</c:v>
                </c:pt>
                <c:pt idx="444">
                  <c:v>2463.2349999999997</c:v>
                </c:pt>
                <c:pt idx="445">
                  <c:v>2474.6049999999996</c:v>
                </c:pt>
                <c:pt idx="446">
                  <c:v>2490.5749999999998</c:v>
                </c:pt>
                <c:pt idx="447">
                  <c:v>2508.65</c:v>
                </c:pt>
                <c:pt idx="448">
                  <c:v>2528.38</c:v>
                </c:pt>
                <c:pt idx="449">
                  <c:v>2547.2449999999999</c:v>
                </c:pt>
                <c:pt idx="450">
                  <c:v>2564.91</c:v>
                </c:pt>
                <c:pt idx="451">
                  <c:v>2575.8899999999994</c:v>
                </c:pt>
                <c:pt idx="452">
                  <c:v>2591.0799999999995</c:v>
                </c:pt>
                <c:pt idx="453">
                  <c:v>2602.9049999999993</c:v>
                </c:pt>
                <c:pt idx="454">
                  <c:v>2614.7349999999992</c:v>
                </c:pt>
                <c:pt idx="455">
                  <c:v>2627.6299999999997</c:v>
                </c:pt>
                <c:pt idx="456">
                  <c:v>2635.7649999999999</c:v>
                </c:pt>
                <c:pt idx="457">
                  <c:v>2643.0150000000003</c:v>
                </c:pt>
                <c:pt idx="458">
                  <c:v>2648.86</c:v>
                </c:pt>
                <c:pt idx="459">
                  <c:v>2658.02</c:v>
                </c:pt>
                <c:pt idx="460">
                  <c:v>2669.72</c:v>
                </c:pt>
                <c:pt idx="461">
                  <c:v>2683.6949999999997</c:v>
                </c:pt>
                <c:pt idx="462">
                  <c:v>2695.49</c:v>
                </c:pt>
                <c:pt idx="463">
                  <c:v>2708.14</c:v>
                </c:pt>
                <c:pt idx="464">
                  <c:v>2719.1799999999994</c:v>
                </c:pt>
                <c:pt idx="465">
                  <c:v>2732.8149999999996</c:v>
                </c:pt>
                <c:pt idx="466">
                  <c:v>2741.4249999999997</c:v>
                </c:pt>
                <c:pt idx="467">
                  <c:v>2752.07</c:v>
                </c:pt>
                <c:pt idx="468">
                  <c:v>2765.69</c:v>
                </c:pt>
                <c:pt idx="469">
                  <c:v>2779.9549999999999</c:v>
                </c:pt>
                <c:pt idx="470">
                  <c:v>2800.3100000000004</c:v>
                </c:pt>
                <c:pt idx="471">
                  <c:v>2822.9749999999999</c:v>
                </c:pt>
                <c:pt idx="472">
                  <c:v>2848.23</c:v>
                </c:pt>
                <c:pt idx="473">
                  <c:v>2879.8450000000003</c:v>
                </c:pt>
                <c:pt idx="474">
                  <c:v>2911.0400000000004</c:v>
                </c:pt>
                <c:pt idx="475">
                  <c:v>2941.5050000000001</c:v>
                </c:pt>
                <c:pt idx="476">
                  <c:v>2977.7450000000003</c:v>
                </c:pt>
                <c:pt idx="477">
                  <c:v>3006.835</c:v>
                </c:pt>
                <c:pt idx="478">
                  <c:v>3043.0650000000001</c:v>
                </c:pt>
                <c:pt idx="479">
                  <c:v>3072.36</c:v>
                </c:pt>
                <c:pt idx="480">
                  <c:v>3100.8849999999998</c:v>
                </c:pt>
                <c:pt idx="481">
                  <c:v>3133.1549999999997</c:v>
                </c:pt>
                <c:pt idx="482">
                  <c:v>3159.9749999999999</c:v>
                </c:pt>
                <c:pt idx="483">
                  <c:v>3179.9749999999999</c:v>
                </c:pt>
                <c:pt idx="484">
                  <c:v>3205.4700000000003</c:v>
                </c:pt>
                <c:pt idx="485">
                  <c:v>3228.77</c:v>
                </c:pt>
                <c:pt idx="486">
                  <c:v>3256.3900000000003</c:v>
                </c:pt>
                <c:pt idx="487">
                  <c:v>3278.2250000000008</c:v>
                </c:pt>
                <c:pt idx="488">
                  <c:v>3297.4849999999997</c:v>
                </c:pt>
                <c:pt idx="489">
                  <c:v>3320.3249999999998</c:v>
                </c:pt>
                <c:pt idx="490">
                  <c:v>3333.1050000000005</c:v>
                </c:pt>
                <c:pt idx="491">
                  <c:v>3351.6250000000009</c:v>
                </c:pt>
                <c:pt idx="492">
                  <c:v>3365.9300000000003</c:v>
                </c:pt>
              </c:numCache>
            </c:numRef>
          </c:yVal>
          <c:smooth val="0"/>
          <c:extLst>
            <c:ext xmlns:c16="http://schemas.microsoft.com/office/drawing/2014/chart" uri="{C3380CC4-5D6E-409C-BE32-E72D297353CC}">
              <c16:uniqueId val="{00000000-D702-417F-B17B-C8B19953484F}"/>
            </c:ext>
          </c:extLst>
        </c:ser>
        <c:dLbls>
          <c:showLegendKey val="0"/>
          <c:showVal val="0"/>
          <c:showCatName val="0"/>
          <c:showSerName val="0"/>
          <c:showPercent val="0"/>
          <c:showBubbleSize val="0"/>
        </c:dLbls>
        <c:axId val="1132355552"/>
        <c:axId val="1132352672"/>
      </c:scatterChart>
      <c:valAx>
        <c:axId val="11323555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132352672"/>
        <c:crosses val="autoZero"/>
        <c:crossBetween val="midCat"/>
      </c:valAx>
      <c:valAx>
        <c:axId val="113235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132355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Χρονοσειρά κινητού Μ.Ο </a:t>
            </a:r>
            <a:r>
              <a:rPr lang="el-GR" sz="1100" b="0" i="0" u="none" strike="noStrike" kern="1200" spc="0" baseline="0">
                <a:solidFill>
                  <a:sysClr val="windowText" lastClr="000000">
                    <a:lumMod val="65000"/>
                    <a:lumOff val="35000"/>
                  </a:sysClr>
                </a:solidFill>
              </a:rPr>
              <a:t> </a:t>
            </a:r>
            <a:r>
              <a:rPr lang="en-US" sz="1100" b="0" i="0" u="none" strike="noStrike" kern="1200" spc="0" baseline="0">
                <a:solidFill>
                  <a:sysClr val="windowText" lastClr="000000">
                    <a:lumMod val="65000"/>
                    <a:lumOff val="35000"/>
                  </a:sysClr>
                </a:solidFill>
              </a:rPr>
              <a:t>P</a:t>
            </a:r>
            <a:r>
              <a:rPr lang="el-GR" sz="1400" b="0" i="0" u="none" strike="noStrike" kern="1200" spc="0" baseline="0">
                <a:solidFill>
                  <a:sysClr val="windowText" lastClr="000000">
                    <a:lumMod val="65000"/>
                    <a:lumOff val="35000"/>
                  </a:sysClr>
                </a:solidFill>
              </a:rPr>
              <a:t> ανά 50 διαδοχικών βημάτων</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scatterChart>
        <c:scatterStyle val="lineMarker"/>
        <c:varyColors val="0"/>
        <c:ser>
          <c:idx val="0"/>
          <c:order val="0"/>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linear"/>
            <c:dispRSqr val="1"/>
            <c:dispEq val="1"/>
            <c:trendlineLbl>
              <c:layout>
                <c:manualLayout>
                  <c:x val="-0.50340146618579751"/>
                  <c:y val="-0.130627734033245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trendlineLbl>
          </c:trendline>
          <c:yVal>
            <c:numRef>
              <c:f>'Gold Futures Historical Data'!$M$2:$M$513</c:f>
              <c:numCache>
                <c:formatCode>General</c:formatCode>
                <c:ptCount val="512"/>
                <c:pt idx="0">
                  <c:v>1250.2959999999998</c:v>
                </c:pt>
                <c:pt idx="1">
                  <c:v>1250.7745098039215</c:v>
                </c:pt>
                <c:pt idx="2">
                  <c:v>1254.2719999999999</c:v>
                </c:pt>
                <c:pt idx="3">
                  <c:v>1253.4196078431373</c:v>
                </c:pt>
                <c:pt idx="4">
                  <c:v>1256.53</c:v>
                </c:pt>
                <c:pt idx="5">
                  <c:v>1256.0960784313727</c:v>
                </c:pt>
                <c:pt idx="6">
                  <c:v>1259.2919999999999</c:v>
                </c:pt>
                <c:pt idx="7">
                  <c:v>1259.7901960784313</c:v>
                </c:pt>
                <c:pt idx="8">
                  <c:v>1261.8319999999999</c:v>
                </c:pt>
                <c:pt idx="9">
                  <c:v>1260.0274509803924</c:v>
                </c:pt>
                <c:pt idx="10">
                  <c:v>1260.6120000000001</c:v>
                </c:pt>
                <c:pt idx="11">
                  <c:v>1260.4941176470591</c:v>
                </c:pt>
                <c:pt idx="12">
                  <c:v>1260.2900000000002</c:v>
                </c:pt>
                <c:pt idx="13">
                  <c:v>1259.6058823529415</c:v>
                </c:pt>
                <c:pt idx="14">
                  <c:v>1259.7120000000002</c:v>
                </c:pt>
                <c:pt idx="15">
                  <c:v>1258.7372549019613</c:v>
                </c:pt>
                <c:pt idx="16">
                  <c:v>1259.4420000000005</c:v>
                </c:pt>
                <c:pt idx="17">
                  <c:v>1259.3725490196082</c:v>
                </c:pt>
                <c:pt idx="18">
                  <c:v>1259.8680000000002</c:v>
                </c:pt>
                <c:pt idx="19">
                  <c:v>1260.9647058823532</c:v>
                </c:pt>
                <c:pt idx="20">
                  <c:v>1260.3740000000005</c:v>
                </c:pt>
                <c:pt idx="21">
                  <c:v>1260.4333333333336</c:v>
                </c:pt>
                <c:pt idx="22">
                  <c:v>1260.1880000000001</c:v>
                </c:pt>
                <c:pt idx="23">
                  <c:v>1259.0411764705884</c:v>
                </c:pt>
                <c:pt idx="24">
                  <c:v>1259.8880000000001</c:v>
                </c:pt>
                <c:pt idx="25">
                  <c:v>1260.2588235294118</c:v>
                </c:pt>
                <c:pt idx="26">
                  <c:v>1259.9460000000001</c:v>
                </c:pt>
                <c:pt idx="27">
                  <c:v>1259.8843137254901</c:v>
                </c:pt>
                <c:pt idx="28">
                  <c:v>1258.634</c:v>
                </c:pt>
                <c:pt idx="29">
                  <c:v>1256.9725490196079</c:v>
                </c:pt>
                <c:pt idx="30">
                  <c:v>1254.9440000000002</c:v>
                </c:pt>
                <c:pt idx="31">
                  <c:v>1252.3882352941177</c:v>
                </c:pt>
                <c:pt idx="32">
                  <c:v>1250.9680000000001</c:v>
                </c:pt>
                <c:pt idx="33">
                  <c:v>1248.4960784313728</c:v>
                </c:pt>
                <c:pt idx="34">
                  <c:v>1246.5780000000002</c:v>
                </c:pt>
                <c:pt idx="35">
                  <c:v>1245.6000000000004</c:v>
                </c:pt>
                <c:pt idx="36">
                  <c:v>1243.5880000000002</c:v>
                </c:pt>
                <c:pt idx="37">
                  <c:v>1243.9039215686275</c:v>
                </c:pt>
                <c:pt idx="38">
                  <c:v>1242.248</c:v>
                </c:pt>
                <c:pt idx="39">
                  <c:v>1243.2588235294118</c:v>
                </c:pt>
                <c:pt idx="40">
                  <c:v>1241.92</c:v>
                </c:pt>
                <c:pt idx="41">
                  <c:v>1243.7392156862745</c:v>
                </c:pt>
                <c:pt idx="42">
                  <c:v>1242.2720000000002</c:v>
                </c:pt>
                <c:pt idx="43">
                  <c:v>1244</c:v>
                </c:pt>
                <c:pt idx="44">
                  <c:v>1243.77</c:v>
                </c:pt>
                <c:pt idx="45">
                  <c:v>1245.1039215686276</c:v>
                </c:pt>
                <c:pt idx="46">
                  <c:v>1244.4699999999998</c:v>
                </c:pt>
                <c:pt idx="47">
                  <c:v>1244.535294117647</c:v>
                </c:pt>
                <c:pt idx="48">
                  <c:v>1244.94</c:v>
                </c:pt>
                <c:pt idx="49">
                  <c:v>1246.7</c:v>
                </c:pt>
                <c:pt idx="50">
                  <c:v>1248.0659999999998</c:v>
                </c:pt>
                <c:pt idx="51">
                  <c:v>1251.1627450980393</c:v>
                </c:pt>
                <c:pt idx="52">
                  <c:v>1252.9480000000001</c:v>
                </c:pt>
                <c:pt idx="53">
                  <c:v>1255.7</c:v>
                </c:pt>
                <c:pt idx="54">
                  <c:v>1258.1420000000001</c:v>
                </c:pt>
                <c:pt idx="55">
                  <c:v>1260.6215686274511</c:v>
                </c:pt>
                <c:pt idx="56">
                  <c:v>1262.3660000000002</c:v>
                </c:pt>
                <c:pt idx="57">
                  <c:v>1265.7588235294122</c:v>
                </c:pt>
                <c:pt idx="58">
                  <c:v>1266.9760000000003</c:v>
                </c:pt>
                <c:pt idx="59">
                  <c:v>1271.145098039216</c:v>
                </c:pt>
                <c:pt idx="60">
                  <c:v>1272.1520000000003</c:v>
                </c:pt>
                <c:pt idx="61">
                  <c:v>1275.7078431372552</c:v>
                </c:pt>
                <c:pt idx="62">
                  <c:v>1276.4400000000003</c:v>
                </c:pt>
                <c:pt idx="63">
                  <c:v>1279.129411764706</c:v>
                </c:pt>
                <c:pt idx="64">
                  <c:v>1280.1820000000002</c:v>
                </c:pt>
                <c:pt idx="65">
                  <c:v>1283.5568627450984</c:v>
                </c:pt>
                <c:pt idx="66">
                  <c:v>1284.6240000000005</c:v>
                </c:pt>
                <c:pt idx="67">
                  <c:v>1286.6470588235297</c:v>
                </c:pt>
                <c:pt idx="68">
                  <c:v>1287.3560000000004</c:v>
                </c:pt>
                <c:pt idx="69">
                  <c:v>1289.9549019607846</c:v>
                </c:pt>
                <c:pt idx="70">
                  <c:v>1289.9840000000006</c:v>
                </c:pt>
                <c:pt idx="71">
                  <c:v>1292.0411764705887</c:v>
                </c:pt>
                <c:pt idx="72">
                  <c:v>1292.5160000000003</c:v>
                </c:pt>
                <c:pt idx="73">
                  <c:v>1295.3058823529416</c:v>
                </c:pt>
                <c:pt idx="74">
                  <c:v>1296.6580000000006</c:v>
                </c:pt>
                <c:pt idx="75">
                  <c:v>1298.3274509803928</c:v>
                </c:pt>
                <c:pt idx="76">
                  <c:v>1298.9320000000005</c:v>
                </c:pt>
                <c:pt idx="77">
                  <c:v>1299.2431372549024</c:v>
                </c:pt>
                <c:pt idx="78">
                  <c:v>1299.8000000000002</c:v>
                </c:pt>
                <c:pt idx="79">
                  <c:v>1300.6960784313728</c:v>
                </c:pt>
                <c:pt idx="80">
                  <c:v>1301.5820000000003</c:v>
                </c:pt>
                <c:pt idx="81">
                  <c:v>1301.6862745098042</c:v>
                </c:pt>
                <c:pt idx="82">
                  <c:v>1303.5260000000001</c:v>
                </c:pt>
                <c:pt idx="83">
                  <c:v>1303.1196078431371</c:v>
                </c:pt>
                <c:pt idx="84">
                  <c:v>1304.0840000000001</c:v>
                </c:pt>
                <c:pt idx="85">
                  <c:v>1301.9843137254904</c:v>
                </c:pt>
                <c:pt idx="86">
                  <c:v>1302.732</c:v>
                </c:pt>
                <c:pt idx="87">
                  <c:v>1299.7803921568627</c:v>
                </c:pt>
                <c:pt idx="88">
                  <c:v>1299.944</c:v>
                </c:pt>
                <c:pt idx="89">
                  <c:v>1296.1274509803923</c:v>
                </c:pt>
                <c:pt idx="90">
                  <c:v>1295.4419999999998</c:v>
                </c:pt>
                <c:pt idx="91">
                  <c:v>1290.998039215686</c:v>
                </c:pt>
                <c:pt idx="92">
                  <c:v>1290.3139999999999</c:v>
                </c:pt>
                <c:pt idx="93">
                  <c:v>1286.6607843137253</c:v>
                </c:pt>
                <c:pt idx="94">
                  <c:v>1286.6979999999996</c:v>
                </c:pt>
                <c:pt idx="95">
                  <c:v>1283.4803921568625</c:v>
                </c:pt>
                <c:pt idx="96">
                  <c:v>1283.0579999999995</c:v>
                </c:pt>
                <c:pt idx="97">
                  <c:v>1280.3921568627447</c:v>
                </c:pt>
                <c:pt idx="98">
                  <c:v>1280.5639999999996</c:v>
                </c:pt>
                <c:pt idx="99">
                  <c:v>1278.8921568627447</c:v>
                </c:pt>
                <c:pt idx="100">
                  <c:v>1278.9859999999999</c:v>
                </c:pt>
                <c:pt idx="101">
                  <c:v>1276.3666666666666</c:v>
                </c:pt>
                <c:pt idx="102">
                  <c:v>1276.1479999999999</c:v>
                </c:pt>
                <c:pt idx="103">
                  <c:v>1273.9470588235292</c:v>
                </c:pt>
                <c:pt idx="104">
                  <c:v>1274.4579999999996</c:v>
                </c:pt>
                <c:pt idx="105">
                  <c:v>1273.411764705882</c:v>
                </c:pt>
                <c:pt idx="106">
                  <c:v>1273.3039999999996</c:v>
                </c:pt>
                <c:pt idx="107">
                  <c:v>1271.6745098039214</c:v>
                </c:pt>
                <c:pt idx="108">
                  <c:v>1270.6619999999998</c:v>
                </c:pt>
                <c:pt idx="109">
                  <c:v>1269.9411764705881</c:v>
                </c:pt>
                <c:pt idx="110">
                  <c:v>1268.6779999999999</c:v>
                </c:pt>
                <c:pt idx="111">
                  <c:v>1267.7235294117645</c:v>
                </c:pt>
                <c:pt idx="112">
                  <c:v>1266.3319999999999</c:v>
                </c:pt>
                <c:pt idx="113">
                  <c:v>1267.0803921568627</c:v>
                </c:pt>
                <c:pt idx="114">
                  <c:v>1265.2979999999998</c:v>
                </c:pt>
                <c:pt idx="115">
                  <c:v>1266.1803921568626</c:v>
                </c:pt>
                <c:pt idx="116">
                  <c:v>1265.0359999999998</c:v>
                </c:pt>
                <c:pt idx="117">
                  <c:v>1265.8784313725489</c:v>
                </c:pt>
                <c:pt idx="118">
                  <c:v>1264.95</c:v>
                </c:pt>
                <c:pt idx="119">
                  <c:v>1264.7019607843135</c:v>
                </c:pt>
                <c:pt idx="120">
                  <c:v>1263.45</c:v>
                </c:pt>
                <c:pt idx="121">
                  <c:v>1263.7882352941178</c:v>
                </c:pt>
                <c:pt idx="122">
                  <c:v>1262.106</c:v>
                </c:pt>
                <c:pt idx="123">
                  <c:v>1262.1549019607844</c:v>
                </c:pt>
                <c:pt idx="124">
                  <c:v>1260.9299999999998</c:v>
                </c:pt>
                <c:pt idx="125">
                  <c:v>1260.9529411764706</c:v>
                </c:pt>
                <c:pt idx="126">
                  <c:v>1259.7579999999998</c:v>
                </c:pt>
                <c:pt idx="127">
                  <c:v>1260.335294117647</c:v>
                </c:pt>
                <c:pt idx="128">
                  <c:v>1259.4679999999998</c:v>
                </c:pt>
                <c:pt idx="129">
                  <c:v>1259.7</c:v>
                </c:pt>
                <c:pt idx="130">
                  <c:v>1258.8399999999999</c:v>
                </c:pt>
                <c:pt idx="131">
                  <c:v>1261.4156862745099</c:v>
                </c:pt>
                <c:pt idx="132">
                  <c:v>1261.23</c:v>
                </c:pt>
                <c:pt idx="133">
                  <c:v>1265.9470588235295</c:v>
                </c:pt>
                <c:pt idx="134">
                  <c:v>1266.1500000000001</c:v>
                </c:pt>
                <c:pt idx="135">
                  <c:v>1272.3960784313726</c:v>
                </c:pt>
                <c:pt idx="136">
                  <c:v>1273.2220000000002</c:v>
                </c:pt>
                <c:pt idx="137">
                  <c:v>1280.1921568627452</c:v>
                </c:pt>
                <c:pt idx="138">
                  <c:v>1281.3319999999999</c:v>
                </c:pt>
                <c:pt idx="139">
                  <c:v>1288.8431372549019</c:v>
                </c:pt>
                <c:pt idx="140">
                  <c:v>1290.9360000000001</c:v>
                </c:pt>
                <c:pt idx="141">
                  <c:v>1301.2862745098041</c:v>
                </c:pt>
                <c:pt idx="142">
                  <c:v>1303.1780000000001</c:v>
                </c:pt>
                <c:pt idx="143">
                  <c:v>1314.2254901960782</c:v>
                </c:pt>
                <c:pt idx="144">
                  <c:v>1316.4879999999998</c:v>
                </c:pt>
                <c:pt idx="145">
                  <c:v>1326.2372549019608</c:v>
                </c:pt>
                <c:pt idx="146">
                  <c:v>1328.838</c:v>
                </c:pt>
                <c:pt idx="147">
                  <c:v>1338.5196078431372</c:v>
                </c:pt>
                <c:pt idx="148">
                  <c:v>1340.85</c:v>
                </c:pt>
                <c:pt idx="149">
                  <c:v>1349.5882352941176</c:v>
                </c:pt>
                <c:pt idx="150">
                  <c:v>1351.864</c:v>
                </c:pt>
                <c:pt idx="151">
                  <c:v>1360.2588235294118</c:v>
                </c:pt>
                <c:pt idx="152">
                  <c:v>1363.2920000000001</c:v>
                </c:pt>
                <c:pt idx="153">
                  <c:v>1371.1745098039214</c:v>
                </c:pt>
                <c:pt idx="154">
                  <c:v>1374.1340000000002</c:v>
                </c:pt>
                <c:pt idx="155">
                  <c:v>1380.9137254901959</c:v>
                </c:pt>
                <c:pt idx="156">
                  <c:v>1383.48</c:v>
                </c:pt>
                <c:pt idx="157">
                  <c:v>1389.8313725490198</c:v>
                </c:pt>
                <c:pt idx="158">
                  <c:v>1392.4660000000001</c:v>
                </c:pt>
                <c:pt idx="159">
                  <c:v>1398.3098039215686</c:v>
                </c:pt>
                <c:pt idx="160">
                  <c:v>1400.56</c:v>
                </c:pt>
                <c:pt idx="161">
                  <c:v>1408.2607843137255</c:v>
                </c:pt>
                <c:pt idx="162">
                  <c:v>1410.7739999999999</c:v>
                </c:pt>
                <c:pt idx="163">
                  <c:v>1419.0882352941176</c:v>
                </c:pt>
                <c:pt idx="164">
                  <c:v>1421.0279999999998</c:v>
                </c:pt>
                <c:pt idx="165">
                  <c:v>1429.5078431372549</c:v>
                </c:pt>
                <c:pt idx="166">
                  <c:v>1431.6559999999997</c:v>
                </c:pt>
                <c:pt idx="167">
                  <c:v>1439.6294117647058</c:v>
                </c:pt>
                <c:pt idx="168">
                  <c:v>1442.4379999999996</c:v>
                </c:pt>
                <c:pt idx="169">
                  <c:v>1451.9411764705883</c:v>
                </c:pt>
                <c:pt idx="170">
                  <c:v>1454.9219999999998</c:v>
                </c:pt>
                <c:pt idx="171">
                  <c:v>1463.3215686274509</c:v>
                </c:pt>
                <c:pt idx="172">
                  <c:v>1466.4979999999998</c:v>
                </c:pt>
                <c:pt idx="173">
                  <c:v>1473.83137254902</c:v>
                </c:pt>
                <c:pt idx="174">
                  <c:v>1477.2840000000003</c:v>
                </c:pt>
                <c:pt idx="175">
                  <c:v>1489.8000000000004</c:v>
                </c:pt>
                <c:pt idx="176">
                  <c:v>1493.7000000000003</c:v>
                </c:pt>
                <c:pt idx="177">
                  <c:v>1506.6196078431376</c:v>
                </c:pt>
                <c:pt idx="178">
                  <c:v>1510.886</c:v>
                </c:pt>
                <c:pt idx="179">
                  <c:v>1523.4647058823532</c:v>
                </c:pt>
                <c:pt idx="180">
                  <c:v>1528.15</c:v>
                </c:pt>
                <c:pt idx="181">
                  <c:v>1541.4137254901962</c:v>
                </c:pt>
                <c:pt idx="182">
                  <c:v>1545.2059999999997</c:v>
                </c:pt>
                <c:pt idx="183">
                  <c:v>1556.1705882352937</c:v>
                </c:pt>
                <c:pt idx="184">
                  <c:v>1559.1759999999997</c:v>
                </c:pt>
                <c:pt idx="185">
                  <c:v>1569.5372549019608</c:v>
                </c:pt>
                <c:pt idx="186">
                  <c:v>1572.8019999999999</c:v>
                </c:pt>
                <c:pt idx="187">
                  <c:v>1584.556862745098</c:v>
                </c:pt>
                <c:pt idx="188">
                  <c:v>1587.5839999999998</c:v>
                </c:pt>
                <c:pt idx="189">
                  <c:v>1599.427450980392</c:v>
                </c:pt>
                <c:pt idx="190">
                  <c:v>1602.2659999999998</c:v>
                </c:pt>
                <c:pt idx="191">
                  <c:v>1614.427450980392</c:v>
                </c:pt>
                <c:pt idx="192">
                  <c:v>1616.2439999999997</c:v>
                </c:pt>
                <c:pt idx="193">
                  <c:v>1633.1078431372546</c:v>
                </c:pt>
                <c:pt idx="194">
                  <c:v>1635.1819999999996</c:v>
                </c:pt>
                <c:pt idx="195">
                  <c:v>1649.8117647058818</c:v>
                </c:pt>
                <c:pt idx="196">
                  <c:v>1652.8179999999995</c:v>
                </c:pt>
                <c:pt idx="197">
                  <c:v>1667.35294117647</c:v>
                </c:pt>
                <c:pt idx="198">
                  <c:v>1670.4379999999996</c:v>
                </c:pt>
                <c:pt idx="199">
                  <c:v>1684.5529411764703</c:v>
                </c:pt>
                <c:pt idx="200">
                  <c:v>1688.3339999999996</c:v>
                </c:pt>
                <c:pt idx="201">
                  <c:v>1699.9352941176467</c:v>
                </c:pt>
                <c:pt idx="202">
                  <c:v>1703.6879999999996</c:v>
                </c:pt>
                <c:pt idx="203">
                  <c:v>1715.9509803921567</c:v>
                </c:pt>
                <c:pt idx="204">
                  <c:v>1720.8739999999996</c:v>
                </c:pt>
                <c:pt idx="205">
                  <c:v>1732.7098039215682</c:v>
                </c:pt>
                <c:pt idx="206">
                  <c:v>1737.9539999999997</c:v>
                </c:pt>
                <c:pt idx="207">
                  <c:v>1750.4254901960783</c:v>
                </c:pt>
                <c:pt idx="208">
                  <c:v>1756.02</c:v>
                </c:pt>
                <c:pt idx="209">
                  <c:v>1764.4</c:v>
                </c:pt>
                <c:pt idx="210">
                  <c:v>1769.9560000000001</c:v>
                </c:pt>
                <c:pt idx="211">
                  <c:v>1777.7509803921573</c:v>
                </c:pt>
                <c:pt idx="212">
                  <c:v>1782.1320000000005</c:v>
                </c:pt>
                <c:pt idx="213">
                  <c:v>1790.6000000000001</c:v>
                </c:pt>
                <c:pt idx="214">
                  <c:v>1795.0820000000003</c:v>
                </c:pt>
                <c:pt idx="215">
                  <c:v>1802.258823529412</c:v>
                </c:pt>
                <c:pt idx="216">
                  <c:v>1806.4280000000006</c:v>
                </c:pt>
                <c:pt idx="217">
                  <c:v>1812.4666666666667</c:v>
                </c:pt>
                <c:pt idx="218">
                  <c:v>1816.8780000000002</c:v>
                </c:pt>
                <c:pt idx="219">
                  <c:v>1820.7372549019608</c:v>
                </c:pt>
                <c:pt idx="220">
                  <c:v>1825.7160000000001</c:v>
                </c:pt>
                <c:pt idx="221">
                  <c:v>1827.7647058823529</c:v>
                </c:pt>
                <c:pt idx="222">
                  <c:v>1833.93</c:v>
                </c:pt>
                <c:pt idx="223">
                  <c:v>1836.109803921569</c:v>
                </c:pt>
                <c:pt idx="224">
                  <c:v>1839.7500000000002</c:v>
                </c:pt>
                <c:pt idx="225">
                  <c:v>1839.3784313725489</c:v>
                </c:pt>
                <c:pt idx="226">
                  <c:v>1841.124</c:v>
                </c:pt>
                <c:pt idx="227">
                  <c:v>1839.6294117647055</c:v>
                </c:pt>
                <c:pt idx="228">
                  <c:v>1841.6279999999997</c:v>
                </c:pt>
                <c:pt idx="229">
                  <c:v>1841.2392156862741</c:v>
                </c:pt>
                <c:pt idx="230">
                  <c:v>1843.5319999999999</c:v>
                </c:pt>
                <c:pt idx="231">
                  <c:v>1842.3196078431367</c:v>
                </c:pt>
                <c:pt idx="232">
                  <c:v>1844.0959999999998</c:v>
                </c:pt>
                <c:pt idx="233">
                  <c:v>1845.4431372549016</c:v>
                </c:pt>
                <c:pt idx="234">
                  <c:v>1848.4699999999998</c:v>
                </c:pt>
                <c:pt idx="235">
                  <c:v>1852.2176470588231</c:v>
                </c:pt>
                <c:pt idx="236">
                  <c:v>1854.0419999999995</c:v>
                </c:pt>
                <c:pt idx="237">
                  <c:v>1856.6235294117639</c:v>
                </c:pt>
                <c:pt idx="238">
                  <c:v>1857.7359999999992</c:v>
                </c:pt>
                <c:pt idx="239">
                  <c:v>1855.5999999999992</c:v>
                </c:pt>
                <c:pt idx="240">
                  <c:v>1856.3999999999992</c:v>
                </c:pt>
                <c:pt idx="241">
                  <c:v>1854.8313725490189</c:v>
                </c:pt>
                <c:pt idx="242">
                  <c:v>1853.7259999999994</c:v>
                </c:pt>
                <c:pt idx="243">
                  <c:v>1849.4254901960778</c:v>
                </c:pt>
                <c:pt idx="244">
                  <c:v>1845.8539999999996</c:v>
                </c:pt>
                <c:pt idx="245">
                  <c:v>1841.6313725490193</c:v>
                </c:pt>
                <c:pt idx="246">
                  <c:v>1839.5239999999997</c:v>
                </c:pt>
                <c:pt idx="247">
                  <c:v>1834.5784313725487</c:v>
                </c:pt>
                <c:pt idx="248">
                  <c:v>1832.5839999999998</c:v>
                </c:pt>
                <c:pt idx="249">
                  <c:v>1830.0882352941176</c:v>
                </c:pt>
                <c:pt idx="250">
                  <c:v>1827.4480000000001</c:v>
                </c:pt>
                <c:pt idx="251">
                  <c:v>1824.501960784314</c:v>
                </c:pt>
                <c:pt idx="252">
                  <c:v>1822.6980000000005</c:v>
                </c:pt>
                <c:pt idx="253">
                  <c:v>1817.9039215686278</c:v>
                </c:pt>
                <c:pt idx="254">
                  <c:v>1815.9820000000004</c:v>
                </c:pt>
                <c:pt idx="255">
                  <c:v>1812.0784313725494</c:v>
                </c:pt>
                <c:pt idx="256">
                  <c:v>1810.576</c:v>
                </c:pt>
                <c:pt idx="257">
                  <c:v>1806.9392156862743</c:v>
                </c:pt>
                <c:pt idx="258">
                  <c:v>1805.2179999999998</c:v>
                </c:pt>
                <c:pt idx="259">
                  <c:v>1805.3431372549019</c:v>
                </c:pt>
                <c:pt idx="260">
                  <c:v>1805.6079999999999</c:v>
                </c:pt>
                <c:pt idx="261">
                  <c:v>1805.4666666666665</c:v>
                </c:pt>
                <c:pt idx="262">
                  <c:v>1804.6239999999996</c:v>
                </c:pt>
                <c:pt idx="263">
                  <c:v>1802.1764705882354</c:v>
                </c:pt>
                <c:pt idx="264">
                  <c:v>1800.4719999999998</c:v>
                </c:pt>
                <c:pt idx="265">
                  <c:v>1798.9274509803922</c:v>
                </c:pt>
                <c:pt idx="266">
                  <c:v>1798.1120000000001</c:v>
                </c:pt>
                <c:pt idx="267">
                  <c:v>1798.0941176470585</c:v>
                </c:pt>
                <c:pt idx="268">
                  <c:v>1796.8579999999999</c:v>
                </c:pt>
                <c:pt idx="269">
                  <c:v>1796.9274509803922</c:v>
                </c:pt>
                <c:pt idx="270">
                  <c:v>1796.5539999999999</c:v>
                </c:pt>
                <c:pt idx="271">
                  <c:v>1796.1137254901962</c:v>
                </c:pt>
                <c:pt idx="272">
                  <c:v>1796.43</c:v>
                </c:pt>
                <c:pt idx="273">
                  <c:v>1800.7549019607845</c:v>
                </c:pt>
                <c:pt idx="274">
                  <c:v>1802.7380000000003</c:v>
                </c:pt>
                <c:pt idx="275">
                  <c:v>1809.3176470588237</c:v>
                </c:pt>
                <c:pt idx="276">
                  <c:v>1810.626</c:v>
                </c:pt>
                <c:pt idx="277">
                  <c:v>1818.0372549019608</c:v>
                </c:pt>
                <c:pt idx="278">
                  <c:v>1819.7919999999999</c:v>
                </c:pt>
                <c:pt idx="279">
                  <c:v>1826.1137254901962</c:v>
                </c:pt>
                <c:pt idx="280">
                  <c:v>1826.9920000000002</c:v>
                </c:pt>
                <c:pt idx="281">
                  <c:v>1833.401960784314</c:v>
                </c:pt>
                <c:pt idx="282">
                  <c:v>1834.6740000000002</c:v>
                </c:pt>
                <c:pt idx="283">
                  <c:v>1838.4352941176473</c:v>
                </c:pt>
                <c:pt idx="284">
                  <c:v>1838.4040000000002</c:v>
                </c:pt>
                <c:pt idx="285">
                  <c:v>1838.1627450980395</c:v>
                </c:pt>
                <c:pt idx="286">
                  <c:v>1836.7880000000005</c:v>
                </c:pt>
                <c:pt idx="287">
                  <c:v>1836.4509803921571</c:v>
                </c:pt>
                <c:pt idx="288">
                  <c:v>1835.546</c:v>
                </c:pt>
                <c:pt idx="289">
                  <c:v>1838.2078431372549</c:v>
                </c:pt>
                <c:pt idx="290">
                  <c:v>1839.3760000000004</c:v>
                </c:pt>
                <c:pt idx="291">
                  <c:v>1840.6372549019613</c:v>
                </c:pt>
                <c:pt idx="292">
                  <c:v>1841.2080000000005</c:v>
                </c:pt>
                <c:pt idx="293">
                  <c:v>1839.313725490196</c:v>
                </c:pt>
                <c:pt idx="294">
                  <c:v>1840.0280000000002</c:v>
                </c:pt>
                <c:pt idx="295">
                  <c:v>1835.8980392156866</c:v>
                </c:pt>
                <c:pt idx="296">
                  <c:v>1837.354</c:v>
                </c:pt>
                <c:pt idx="297">
                  <c:v>1836.5196078431372</c:v>
                </c:pt>
                <c:pt idx="298">
                  <c:v>1837.57</c:v>
                </c:pt>
                <c:pt idx="299">
                  <c:v>1836.0274509803921</c:v>
                </c:pt>
                <c:pt idx="300">
                  <c:v>1836.0739999999996</c:v>
                </c:pt>
                <c:pt idx="301">
                  <c:v>1833.0196078431372</c:v>
                </c:pt>
                <c:pt idx="302">
                  <c:v>1834.652</c:v>
                </c:pt>
                <c:pt idx="303">
                  <c:v>1831.2352941176471</c:v>
                </c:pt>
                <c:pt idx="304">
                  <c:v>1832.6580000000001</c:v>
                </c:pt>
                <c:pt idx="305">
                  <c:v>1827.7254901960787</c:v>
                </c:pt>
                <c:pt idx="306">
                  <c:v>1828.876</c:v>
                </c:pt>
                <c:pt idx="307">
                  <c:v>1824.1392156862748</c:v>
                </c:pt>
                <c:pt idx="308">
                  <c:v>1824.9040000000005</c:v>
                </c:pt>
                <c:pt idx="309">
                  <c:v>1818.7352941176473</c:v>
                </c:pt>
                <c:pt idx="310">
                  <c:v>1817.6940000000002</c:v>
                </c:pt>
                <c:pt idx="311">
                  <c:v>1813.8137254901967</c:v>
                </c:pt>
                <c:pt idx="312">
                  <c:v>1814.3280000000007</c:v>
                </c:pt>
                <c:pt idx="313">
                  <c:v>1813.105882352942</c:v>
                </c:pt>
                <c:pt idx="314">
                  <c:v>1813.6280000000008</c:v>
                </c:pt>
                <c:pt idx="315">
                  <c:v>1814.2098039215691</c:v>
                </c:pt>
                <c:pt idx="316">
                  <c:v>1814.2140000000009</c:v>
                </c:pt>
                <c:pt idx="317">
                  <c:v>1814.0215686274516</c:v>
                </c:pt>
                <c:pt idx="318">
                  <c:v>1814.3040000000008</c:v>
                </c:pt>
                <c:pt idx="319">
                  <c:v>1814.9921568627456</c:v>
                </c:pt>
                <c:pt idx="320">
                  <c:v>1814.6100000000004</c:v>
                </c:pt>
                <c:pt idx="321">
                  <c:v>1817.5843137254903</c:v>
                </c:pt>
                <c:pt idx="322">
                  <c:v>1817.72</c:v>
                </c:pt>
                <c:pt idx="323">
                  <c:v>1822.037254901961</c:v>
                </c:pt>
                <c:pt idx="324">
                  <c:v>1820.4159999999997</c:v>
                </c:pt>
                <c:pt idx="325">
                  <c:v>1822.9196078431371</c:v>
                </c:pt>
                <c:pt idx="326">
                  <c:v>1819.9799999999998</c:v>
                </c:pt>
                <c:pt idx="327">
                  <c:v>1818.9745098039211</c:v>
                </c:pt>
                <c:pt idx="328">
                  <c:v>1816.6759999999997</c:v>
                </c:pt>
                <c:pt idx="329">
                  <c:v>1815.2803921568623</c:v>
                </c:pt>
                <c:pt idx="330">
                  <c:v>1813.0019999999995</c:v>
                </c:pt>
                <c:pt idx="331">
                  <c:v>1815.1392156862737</c:v>
                </c:pt>
                <c:pt idx="332">
                  <c:v>1811.8099999999995</c:v>
                </c:pt>
                <c:pt idx="333">
                  <c:v>1816.7627450980387</c:v>
                </c:pt>
                <c:pt idx="334">
                  <c:v>1814.7259999999994</c:v>
                </c:pt>
                <c:pt idx="335">
                  <c:v>1822.0568627450973</c:v>
                </c:pt>
                <c:pt idx="336">
                  <c:v>1822.2019999999993</c:v>
                </c:pt>
                <c:pt idx="337">
                  <c:v>1829.1999999999994</c:v>
                </c:pt>
                <c:pt idx="338">
                  <c:v>1828.4839999999995</c:v>
                </c:pt>
                <c:pt idx="339">
                  <c:v>1836.2588235294108</c:v>
                </c:pt>
                <c:pt idx="340">
                  <c:v>1835.3059999999991</c:v>
                </c:pt>
                <c:pt idx="341">
                  <c:v>1840.7666666666662</c:v>
                </c:pt>
                <c:pt idx="342">
                  <c:v>1840.7959999999998</c:v>
                </c:pt>
                <c:pt idx="343">
                  <c:v>1847.3588235294119</c:v>
                </c:pt>
                <c:pt idx="344">
                  <c:v>1849.2880000000002</c:v>
                </c:pt>
                <c:pt idx="345">
                  <c:v>1856.7137254901959</c:v>
                </c:pt>
                <c:pt idx="346">
                  <c:v>1859.1479999999999</c:v>
                </c:pt>
                <c:pt idx="347">
                  <c:v>1864.2294117647059</c:v>
                </c:pt>
                <c:pt idx="348">
                  <c:v>1865.69</c:v>
                </c:pt>
                <c:pt idx="349">
                  <c:v>1871.3372549019607</c:v>
                </c:pt>
                <c:pt idx="350">
                  <c:v>1873.5060000000001</c:v>
                </c:pt>
                <c:pt idx="351">
                  <c:v>1880.4215686274513</c:v>
                </c:pt>
                <c:pt idx="352">
                  <c:v>1883.5780000000002</c:v>
                </c:pt>
                <c:pt idx="353">
                  <c:v>1888.4980392156867</c:v>
                </c:pt>
                <c:pt idx="354">
                  <c:v>1892.5980000000004</c:v>
                </c:pt>
                <c:pt idx="355">
                  <c:v>1899.6333333333334</c:v>
                </c:pt>
                <c:pt idx="356">
                  <c:v>1903.9280000000001</c:v>
                </c:pt>
                <c:pt idx="357">
                  <c:v>1909.0686274509803</c:v>
                </c:pt>
                <c:pt idx="358">
                  <c:v>1913.9939999999999</c:v>
                </c:pt>
                <c:pt idx="359">
                  <c:v>1918.833333333333</c:v>
                </c:pt>
                <c:pt idx="360">
                  <c:v>1924.0279999999998</c:v>
                </c:pt>
                <c:pt idx="361">
                  <c:v>1928.1627450980393</c:v>
                </c:pt>
                <c:pt idx="362">
                  <c:v>1931.056</c:v>
                </c:pt>
                <c:pt idx="363">
                  <c:v>1937.5882352941176</c:v>
                </c:pt>
                <c:pt idx="364">
                  <c:v>1940.9639999999999</c:v>
                </c:pt>
                <c:pt idx="365">
                  <c:v>1945.1137254901962</c:v>
                </c:pt>
                <c:pt idx="366">
                  <c:v>1947.4980000000003</c:v>
                </c:pt>
                <c:pt idx="367">
                  <c:v>1952.6980392156868</c:v>
                </c:pt>
                <c:pt idx="368">
                  <c:v>1955.3560000000004</c:v>
                </c:pt>
                <c:pt idx="369">
                  <c:v>1962.1313725490195</c:v>
                </c:pt>
                <c:pt idx="370">
                  <c:v>1964.85</c:v>
                </c:pt>
                <c:pt idx="371">
                  <c:v>1970.6</c:v>
                </c:pt>
                <c:pt idx="372">
                  <c:v>1972.6179999999999</c:v>
                </c:pt>
                <c:pt idx="373">
                  <c:v>1977.5686274509803</c:v>
                </c:pt>
                <c:pt idx="374">
                  <c:v>1978.2220000000002</c:v>
                </c:pt>
                <c:pt idx="375">
                  <c:v>1982.0588235294117</c:v>
                </c:pt>
                <c:pt idx="376">
                  <c:v>1983.8339999999998</c:v>
                </c:pt>
                <c:pt idx="377">
                  <c:v>1988.6372549019609</c:v>
                </c:pt>
                <c:pt idx="378">
                  <c:v>1991.0719999999999</c:v>
                </c:pt>
                <c:pt idx="379">
                  <c:v>1996.6509803921565</c:v>
                </c:pt>
                <c:pt idx="380">
                  <c:v>1999.1559999999999</c:v>
                </c:pt>
                <c:pt idx="381">
                  <c:v>2003.4568627450979</c:v>
                </c:pt>
                <c:pt idx="382">
                  <c:v>2003.7219999999998</c:v>
                </c:pt>
                <c:pt idx="383">
                  <c:v>2007.2490196078427</c:v>
                </c:pt>
                <c:pt idx="384">
                  <c:v>2007.3119999999994</c:v>
                </c:pt>
                <c:pt idx="385">
                  <c:v>2013.9333333333334</c:v>
                </c:pt>
                <c:pt idx="386">
                  <c:v>2013.5239999999999</c:v>
                </c:pt>
                <c:pt idx="387">
                  <c:v>2021.7058823529412</c:v>
                </c:pt>
                <c:pt idx="388">
                  <c:v>2021.7739999999999</c:v>
                </c:pt>
                <c:pt idx="389">
                  <c:v>2035.4392156862748</c:v>
                </c:pt>
                <c:pt idx="390">
                  <c:v>2035.3660000000004</c:v>
                </c:pt>
                <c:pt idx="391">
                  <c:v>2050.4588235294123</c:v>
                </c:pt>
                <c:pt idx="392">
                  <c:v>2052.2060000000006</c:v>
                </c:pt>
                <c:pt idx="393">
                  <c:v>2065.676470588236</c:v>
                </c:pt>
                <c:pt idx="394">
                  <c:v>2067.054000000001</c:v>
                </c:pt>
                <c:pt idx="395">
                  <c:v>2081.5549019607847</c:v>
                </c:pt>
                <c:pt idx="396">
                  <c:v>2084.2080000000005</c:v>
                </c:pt>
                <c:pt idx="397">
                  <c:v>2097.6078431372553</c:v>
                </c:pt>
                <c:pt idx="398">
                  <c:v>2100.5280000000002</c:v>
                </c:pt>
                <c:pt idx="399">
                  <c:v>2113.1137254901964</c:v>
                </c:pt>
                <c:pt idx="400">
                  <c:v>2115.6600000000003</c:v>
                </c:pt>
                <c:pt idx="401">
                  <c:v>2128.7588235294124</c:v>
                </c:pt>
                <c:pt idx="402">
                  <c:v>2131.8120000000004</c:v>
                </c:pt>
                <c:pt idx="403">
                  <c:v>2147.2843137254904</c:v>
                </c:pt>
                <c:pt idx="404">
                  <c:v>2151.9</c:v>
                </c:pt>
                <c:pt idx="405">
                  <c:v>2167.2431372549022</c:v>
                </c:pt>
                <c:pt idx="406">
                  <c:v>2171.2460000000005</c:v>
                </c:pt>
                <c:pt idx="407">
                  <c:v>2188.8392156862747</c:v>
                </c:pt>
                <c:pt idx="408">
                  <c:v>2193.692</c:v>
                </c:pt>
                <c:pt idx="409">
                  <c:v>2212.0176470588235</c:v>
                </c:pt>
                <c:pt idx="410">
                  <c:v>2218.5500000000002</c:v>
                </c:pt>
                <c:pt idx="411">
                  <c:v>2238.7333333333336</c:v>
                </c:pt>
                <c:pt idx="412">
                  <c:v>2244.2860000000001</c:v>
                </c:pt>
                <c:pt idx="413">
                  <c:v>2264.7549019607845</c:v>
                </c:pt>
                <c:pt idx="414">
                  <c:v>2269.6760000000004</c:v>
                </c:pt>
                <c:pt idx="415">
                  <c:v>2290.3588235294123</c:v>
                </c:pt>
                <c:pt idx="416">
                  <c:v>2297.0120000000006</c:v>
                </c:pt>
                <c:pt idx="417">
                  <c:v>2319.960784313726</c:v>
                </c:pt>
                <c:pt idx="418">
                  <c:v>2325.8900000000008</c:v>
                </c:pt>
                <c:pt idx="419">
                  <c:v>2345.9156862745099</c:v>
                </c:pt>
                <c:pt idx="420">
                  <c:v>2352.1560000000009</c:v>
                </c:pt>
                <c:pt idx="421">
                  <c:v>2369.7960784313727</c:v>
                </c:pt>
                <c:pt idx="422">
                  <c:v>2375.4160000000002</c:v>
                </c:pt>
                <c:pt idx="423">
                  <c:v>2392.5411764705887</c:v>
                </c:pt>
                <c:pt idx="424">
                  <c:v>2398.9560000000006</c:v>
                </c:pt>
                <c:pt idx="425">
                  <c:v>2415.5470588235294</c:v>
                </c:pt>
                <c:pt idx="426">
                  <c:v>2422.4640000000004</c:v>
                </c:pt>
                <c:pt idx="427">
                  <c:v>2437.7431372549022</c:v>
                </c:pt>
                <c:pt idx="428">
                  <c:v>2445.5259999999998</c:v>
                </c:pt>
                <c:pt idx="429">
                  <c:v>2465.3196078431374</c:v>
                </c:pt>
                <c:pt idx="430">
                  <c:v>2473.1580000000004</c:v>
                </c:pt>
                <c:pt idx="431">
                  <c:v>2494.6470588235297</c:v>
                </c:pt>
                <c:pt idx="432">
                  <c:v>2503.6620000000003</c:v>
                </c:pt>
                <c:pt idx="433">
                  <c:v>2527.2607843137257</c:v>
                </c:pt>
                <c:pt idx="434">
                  <c:v>2535.4860000000003</c:v>
                </c:pt>
                <c:pt idx="435">
                  <c:v>2556.0196078431372</c:v>
                </c:pt>
                <c:pt idx="436">
                  <c:v>2563.4780000000001</c:v>
                </c:pt>
                <c:pt idx="437">
                  <c:v>2587.2509803921566</c:v>
                </c:pt>
                <c:pt idx="438">
                  <c:v>2593.828</c:v>
                </c:pt>
                <c:pt idx="439">
                  <c:v>2617.1294117647053</c:v>
                </c:pt>
                <c:pt idx="440">
                  <c:v>2621.5459999999998</c:v>
                </c:pt>
                <c:pt idx="441">
                  <c:v>2645.2274509803924</c:v>
                </c:pt>
                <c:pt idx="442">
                  <c:v>2650.7459999999996</c:v>
                </c:pt>
                <c:pt idx="443">
                  <c:v>2682.4215686274506</c:v>
                </c:pt>
                <c:pt idx="444">
                  <c:v>2688.116</c:v>
                </c:pt>
                <c:pt idx="445">
                  <c:v>2717.5372549019603</c:v>
                </c:pt>
                <c:pt idx="446">
                  <c:v>2724.7499999999995</c:v>
                </c:pt>
                <c:pt idx="447">
                  <c:v>2753.8921568627447</c:v>
                </c:pt>
                <c:pt idx="448">
                  <c:v>2762.0179999999991</c:v>
                </c:pt>
                <c:pt idx="449">
                  <c:v>2791.6960784313719</c:v>
                </c:pt>
                <c:pt idx="450">
                  <c:v>2800.4519999999993</c:v>
                </c:pt>
                <c:pt idx="451">
                  <c:v>2832.737254901961</c:v>
                </c:pt>
                <c:pt idx="452">
                  <c:v>2840.97</c:v>
                </c:pt>
                <c:pt idx="453">
                  <c:v>2868.4392156862737</c:v>
                </c:pt>
                <c:pt idx="454">
                  <c:v>2877.3479999999995</c:v>
                </c:pt>
                <c:pt idx="455">
                  <c:v>2907.2607843137248</c:v>
                </c:pt>
                <c:pt idx="456">
                  <c:v>2916.01</c:v>
                </c:pt>
                <c:pt idx="457">
                  <c:v>2943.2647058823522</c:v>
                </c:pt>
                <c:pt idx="458">
                  <c:v>2951.3739999999998</c:v>
                </c:pt>
                <c:pt idx="459">
                  <c:v>2978.1098039215681</c:v>
                </c:pt>
                <c:pt idx="460">
                  <c:v>2987.1199999999994</c:v>
                </c:pt>
                <c:pt idx="461">
                  <c:v>3014.9941176470584</c:v>
                </c:pt>
                <c:pt idx="462">
                  <c:v>3023.3119999999994</c:v>
                </c:pt>
              </c:numCache>
            </c:numRef>
          </c:yVal>
          <c:smooth val="0"/>
          <c:extLst>
            <c:ext xmlns:c16="http://schemas.microsoft.com/office/drawing/2014/chart" uri="{C3380CC4-5D6E-409C-BE32-E72D297353CC}">
              <c16:uniqueId val="{00000000-F76F-4262-8B99-14EDD9A0056B}"/>
            </c:ext>
          </c:extLst>
        </c:ser>
        <c:dLbls>
          <c:showLegendKey val="0"/>
          <c:showVal val="0"/>
          <c:showCatName val="0"/>
          <c:showSerName val="0"/>
          <c:showPercent val="0"/>
          <c:showBubbleSize val="0"/>
        </c:dLbls>
        <c:axId val="1235139504"/>
        <c:axId val="1235146224"/>
      </c:scatterChart>
      <c:valAx>
        <c:axId val="123513950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35146224"/>
        <c:crosses val="autoZero"/>
        <c:crossBetween val="midCat"/>
      </c:valAx>
      <c:valAx>
        <c:axId val="123514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235139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Τάσ</a:t>
            </a:r>
            <a:r>
              <a:rPr lang="el-GR" baseline="0"/>
              <a:t>η </a:t>
            </a:r>
            <a:r>
              <a:rPr lang="en-US" baseline="0"/>
              <a:t>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lineChart>
        <c:grouping val="standard"/>
        <c:varyColors val="0"/>
        <c:ser>
          <c:idx val="0"/>
          <c:order val="0"/>
          <c:spPr>
            <a:ln w="28575" cap="rnd">
              <a:solidFill>
                <a:schemeClr val="accent1"/>
              </a:solidFill>
              <a:round/>
            </a:ln>
            <a:effectLst/>
          </c:spPr>
          <c:marker>
            <c:symbol val="none"/>
          </c:marker>
          <c:val>
            <c:numRef>
              <c:f>'Gold Futures Historical Data'!$C$2:$C$513</c:f>
              <c:numCache>
                <c:formatCode>General</c:formatCode>
                <c:ptCount val="512"/>
                <c:pt idx="0">
                  <c:v>935.81089999999995</c:v>
                </c:pt>
                <c:pt idx="1">
                  <c:v>939.06179999999995</c:v>
                </c:pt>
                <c:pt idx="2">
                  <c:v>942.31269999999995</c:v>
                </c:pt>
                <c:pt idx="3">
                  <c:v>945.56359999999995</c:v>
                </c:pt>
                <c:pt idx="4">
                  <c:v>948.81449999999995</c:v>
                </c:pt>
                <c:pt idx="5">
                  <c:v>952.06539999999995</c:v>
                </c:pt>
                <c:pt idx="6">
                  <c:v>955.31629999999996</c:v>
                </c:pt>
                <c:pt idx="7">
                  <c:v>958.56719999999996</c:v>
                </c:pt>
                <c:pt idx="8">
                  <c:v>961.81809999999996</c:v>
                </c:pt>
                <c:pt idx="9">
                  <c:v>965.06899999999996</c:v>
                </c:pt>
                <c:pt idx="10">
                  <c:v>968.31989999999996</c:v>
                </c:pt>
                <c:pt idx="11">
                  <c:v>971.57079999999996</c:v>
                </c:pt>
                <c:pt idx="12">
                  <c:v>974.82169999999996</c:v>
                </c:pt>
                <c:pt idx="13">
                  <c:v>978.07259999999997</c:v>
                </c:pt>
                <c:pt idx="14">
                  <c:v>981.32349999999997</c:v>
                </c:pt>
                <c:pt idx="15">
                  <c:v>984.57439999999997</c:v>
                </c:pt>
                <c:pt idx="16">
                  <c:v>987.82529999999997</c:v>
                </c:pt>
                <c:pt idx="17">
                  <c:v>991.07619999999997</c:v>
                </c:pt>
                <c:pt idx="18">
                  <c:v>994.32709999999997</c:v>
                </c:pt>
                <c:pt idx="19">
                  <c:v>997.57799999999997</c:v>
                </c:pt>
                <c:pt idx="20">
                  <c:v>1000.8289</c:v>
                </c:pt>
                <c:pt idx="21">
                  <c:v>1004.0798</c:v>
                </c:pt>
                <c:pt idx="22">
                  <c:v>1007.3307</c:v>
                </c:pt>
                <c:pt idx="23">
                  <c:v>1010.5816</c:v>
                </c:pt>
                <c:pt idx="24">
                  <c:v>1013.8325</c:v>
                </c:pt>
                <c:pt idx="25">
                  <c:v>1017.0834</c:v>
                </c:pt>
                <c:pt idx="26">
                  <c:v>1020.3343</c:v>
                </c:pt>
                <c:pt idx="27">
                  <c:v>1023.5852</c:v>
                </c:pt>
                <c:pt idx="28">
                  <c:v>1026.8361</c:v>
                </c:pt>
                <c:pt idx="29">
                  <c:v>1030.087</c:v>
                </c:pt>
                <c:pt idx="30">
                  <c:v>1033.3379</c:v>
                </c:pt>
                <c:pt idx="31">
                  <c:v>1036.5888</c:v>
                </c:pt>
                <c:pt idx="32">
                  <c:v>1039.8397</c:v>
                </c:pt>
                <c:pt idx="33">
                  <c:v>1043.0906</c:v>
                </c:pt>
                <c:pt idx="34">
                  <c:v>1046.3415</c:v>
                </c:pt>
                <c:pt idx="35">
                  <c:v>1049.5924</c:v>
                </c:pt>
                <c:pt idx="36">
                  <c:v>1052.8433</c:v>
                </c:pt>
                <c:pt idx="37">
                  <c:v>1056.0942</c:v>
                </c:pt>
                <c:pt idx="38">
                  <c:v>1059.3451</c:v>
                </c:pt>
                <c:pt idx="39">
                  <c:v>1062.596</c:v>
                </c:pt>
                <c:pt idx="40">
                  <c:v>1065.8469</c:v>
                </c:pt>
                <c:pt idx="41">
                  <c:v>1069.0978</c:v>
                </c:pt>
                <c:pt idx="42">
                  <c:v>1072.3487</c:v>
                </c:pt>
                <c:pt idx="43">
                  <c:v>1075.5996</c:v>
                </c:pt>
                <c:pt idx="44">
                  <c:v>1078.8505</c:v>
                </c:pt>
                <c:pt idx="45">
                  <c:v>1082.1014</c:v>
                </c:pt>
                <c:pt idx="46">
                  <c:v>1085.3523</c:v>
                </c:pt>
                <c:pt idx="47">
                  <c:v>1088.6032</c:v>
                </c:pt>
                <c:pt idx="48">
                  <c:v>1091.8541</c:v>
                </c:pt>
                <c:pt idx="49">
                  <c:v>1095.105</c:v>
                </c:pt>
                <c:pt idx="50">
                  <c:v>1098.3559</c:v>
                </c:pt>
                <c:pt idx="51">
                  <c:v>1101.6068</c:v>
                </c:pt>
                <c:pt idx="52">
                  <c:v>1104.8577</c:v>
                </c:pt>
                <c:pt idx="53">
                  <c:v>1108.1086</c:v>
                </c:pt>
                <c:pt idx="54">
                  <c:v>1111.3595</c:v>
                </c:pt>
                <c:pt idx="55">
                  <c:v>1114.6104</c:v>
                </c:pt>
                <c:pt idx="56">
                  <c:v>1117.8613</c:v>
                </c:pt>
                <c:pt idx="57">
                  <c:v>1121.1122</c:v>
                </c:pt>
                <c:pt idx="58">
                  <c:v>1124.3631</c:v>
                </c:pt>
                <c:pt idx="59">
                  <c:v>1127.614</c:v>
                </c:pt>
                <c:pt idx="60">
                  <c:v>1130.8649</c:v>
                </c:pt>
                <c:pt idx="61">
                  <c:v>1134.1158</c:v>
                </c:pt>
                <c:pt idx="62">
                  <c:v>1137.3667</c:v>
                </c:pt>
                <c:pt idx="63">
                  <c:v>1140.6176</c:v>
                </c:pt>
                <c:pt idx="64">
                  <c:v>1143.8685</c:v>
                </c:pt>
                <c:pt idx="65">
                  <c:v>1147.1194</c:v>
                </c:pt>
                <c:pt idx="66">
                  <c:v>1150.3703</c:v>
                </c:pt>
                <c:pt idx="67">
                  <c:v>1153.6212</c:v>
                </c:pt>
                <c:pt idx="68">
                  <c:v>1156.8721</c:v>
                </c:pt>
                <c:pt idx="69">
                  <c:v>1160.123</c:v>
                </c:pt>
                <c:pt idx="70">
                  <c:v>1163.3739</c:v>
                </c:pt>
                <c:pt idx="71">
                  <c:v>1166.6248000000001</c:v>
                </c:pt>
                <c:pt idx="72">
                  <c:v>1169.8757000000001</c:v>
                </c:pt>
                <c:pt idx="73">
                  <c:v>1173.1266000000001</c:v>
                </c:pt>
                <c:pt idx="74">
                  <c:v>1176.3775000000001</c:v>
                </c:pt>
                <c:pt idx="75">
                  <c:v>1179.6284000000001</c:v>
                </c:pt>
                <c:pt idx="76">
                  <c:v>1182.8793000000001</c:v>
                </c:pt>
                <c:pt idx="77">
                  <c:v>1186.1302000000001</c:v>
                </c:pt>
                <c:pt idx="78">
                  <c:v>1189.3811000000001</c:v>
                </c:pt>
                <c:pt idx="79">
                  <c:v>1192.6320000000001</c:v>
                </c:pt>
                <c:pt idx="80">
                  <c:v>1195.8829000000001</c:v>
                </c:pt>
                <c:pt idx="81">
                  <c:v>1199.1338000000001</c:v>
                </c:pt>
                <c:pt idx="82">
                  <c:v>1202.3847000000001</c:v>
                </c:pt>
                <c:pt idx="83">
                  <c:v>1205.6356000000001</c:v>
                </c:pt>
                <c:pt idx="84">
                  <c:v>1208.8865000000001</c:v>
                </c:pt>
                <c:pt idx="85">
                  <c:v>1212.1374000000001</c:v>
                </c:pt>
                <c:pt idx="86">
                  <c:v>1215.3883000000001</c:v>
                </c:pt>
                <c:pt idx="87">
                  <c:v>1218.6392000000001</c:v>
                </c:pt>
                <c:pt idx="88">
                  <c:v>1221.8901000000001</c:v>
                </c:pt>
                <c:pt idx="89">
                  <c:v>1225.1410000000001</c:v>
                </c:pt>
                <c:pt idx="90">
                  <c:v>1228.3919000000001</c:v>
                </c:pt>
                <c:pt idx="91">
                  <c:v>1231.6428000000001</c:v>
                </c:pt>
                <c:pt idx="92">
                  <c:v>1234.8937000000001</c:v>
                </c:pt>
                <c:pt idx="93">
                  <c:v>1238.1446000000001</c:v>
                </c:pt>
                <c:pt idx="94">
                  <c:v>1241.3955000000001</c:v>
                </c:pt>
                <c:pt idx="95">
                  <c:v>1244.6464000000001</c:v>
                </c:pt>
                <c:pt idx="96">
                  <c:v>1247.8973000000001</c:v>
                </c:pt>
                <c:pt idx="97">
                  <c:v>1251.1482000000001</c:v>
                </c:pt>
                <c:pt idx="98">
                  <c:v>1254.3991000000001</c:v>
                </c:pt>
                <c:pt idx="99">
                  <c:v>1257.6500000000001</c:v>
                </c:pt>
                <c:pt idx="100">
                  <c:v>1260.9009000000001</c:v>
                </c:pt>
                <c:pt idx="101">
                  <c:v>1264.1518000000001</c:v>
                </c:pt>
                <c:pt idx="102">
                  <c:v>1267.4027000000001</c:v>
                </c:pt>
                <c:pt idx="103">
                  <c:v>1270.6536000000001</c:v>
                </c:pt>
                <c:pt idx="104">
                  <c:v>1273.9045000000001</c:v>
                </c:pt>
                <c:pt idx="105">
                  <c:v>1277.1554000000001</c:v>
                </c:pt>
                <c:pt idx="106">
                  <c:v>1280.4062999999999</c:v>
                </c:pt>
                <c:pt idx="107">
                  <c:v>1283.6571999999999</c:v>
                </c:pt>
                <c:pt idx="108">
                  <c:v>1286.9080999999999</c:v>
                </c:pt>
                <c:pt idx="109">
                  <c:v>1290.1589999999999</c:v>
                </c:pt>
                <c:pt idx="110">
                  <c:v>1293.4098999999999</c:v>
                </c:pt>
                <c:pt idx="111">
                  <c:v>1296.6607999999999</c:v>
                </c:pt>
                <c:pt idx="112">
                  <c:v>1299.9116999999999</c:v>
                </c:pt>
                <c:pt idx="113">
                  <c:v>1303.1625999999999</c:v>
                </c:pt>
                <c:pt idx="114">
                  <c:v>1306.4134999999999</c:v>
                </c:pt>
                <c:pt idx="115">
                  <c:v>1309.6643999999999</c:v>
                </c:pt>
                <c:pt idx="116">
                  <c:v>1312.9152999999999</c:v>
                </c:pt>
                <c:pt idx="117">
                  <c:v>1316.1661999999999</c:v>
                </c:pt>
                <c:pt idx="118">
                  <c:v>1319.4170999999999</c:v>
                </c:pt>
                <c:pt idx="119">
                  <c:v>1322.6679999999999</c:v>
                </c:pt>
                <c:pt idx="120">
                  <c:v>1325.9188999999999</c:v>
                </c:pt>
                <c:pt idx="121">
                  <c:v>1329.1697999999999</c:v>
                </c:pt>
                <c:pt idx="122">
                  <c:v>1332.4206999999999</c:v>
                </c:pt>
                <c:pt idx="123">
                  <c:v>1335.6715999999999</c:v>
                </c:pt>
                <c:pt idx="124">
                  <c:v>1338.9224999999999</c:v>
                </c:pt>
                <c:pt idx="125">
                  <c:v>1342.1733999999999</c:v>
                </c:pt>
                <c:pt idx="126">
                  <c:v>1345.4242999999999</c:v>
                </c:pt>
                <c:pt idx="127">
                  <c:v>1348.6751999999999</c:v>
                </c:pt>
                <c:pt idx="128">
                  <c:v>1351.9260999999999</c:v>
                </c:pt>
                <c:pt idx="129">
                  <c:v>1355.1769999999999</c:v>
                </c:pt>
                <c:pt idx="130">
                  <c:v>1358.4278999999999</c:v>
                </c:pt>
                <c:pt idx="131">
                  <c:v>1361.6787999999999</c:v>
                </c:pt>
                <c:pt idx="132">
                  <c:v>1364.9296999999999</c:v>
                </c:pt>
                <c:pt idx="133">
                  <c:v>1368.1805999999999</c:v>
                </c:pt>
                <c:pt idx="134">
                  <c:v>1371.4314999999999</c:v>
                </c:pt>
                <c:pt idx="135">
                  <c:v>1374.6823999999999</c:v>
                </c:pt>
                <c:pt idx="136">
                  <c:v>1377.9332999999999</c:v>
                </c:pt>
                <c:pt idx="137">
                  <c:v>1381.1841999999999</c:v>
                </c:pt>
                <c:pt idx="138">
                  <c:v>1384.4350999999999</c:v>
                </c:pt>
                <c:pt idx="139">
                  <c:v>1387.6859999999999</c:v>
                </c:pt>
                <c:pt idx="140">
                  <c:v>1390.9368999999999</c:v>
                </c:pt>
                <c:pt idx="141">
                  <c:v>1394.1877999999999</c:v>
                </c:pt>
                <c:pt idx="142">
                  <c:v>1397.4386999999999</c:v>
                </c:pt>
                <c:pt idx="143">
                  <c:v>1400.6895999999999</c:v>
                </c:pt>
                <c:pt idx="144">
                  <c:v>1403.9404999999999</c:v>
                </c:pt>
                <c:pt idx="145">
                  <c:v>1407.1913999999999</c:v>
                </c:pt>
                <c:pt idx="146">
                  <c:v>1410.4422999999999</c:v>
                </c:pt>
                <c:pt idx="147">
                  <c:v>1413.6931999999999</c:v>
                </c:pt>
                <c:pt idx="148">
                  <c:v>1416.9440999999999</c:v>
                </c:pt>
                <c:pt idx="149">
                  <c:v>1420.1949999999999</c:v>
                </c:pt>
                <c:pt idx="150">
                  <c:v>1423.4458999999999</c:v>
                </c:pt>
                <c:pt idx="151">
                  <c:v>1426.6967999999999</c:v>
                </c:pt>
                <c:pt idx="152">
                  <c:v>1429.9476999999999</c:v>
                </c:pt>
                <c:pt idx="153">
                  <c:v>1433.1985999999999</c:v>
                </c:pt>
                <c:pt idx="154">
                  <c:v>1436.4494999999999</c:v>
                </c:pt>
                <c:pt idx="155">
                  <c:v>1439.7003999999999</c:v>
                </c:pt>
                <c:pt idx="156">
                  <c:v>1442.9512999999999</c:v>
                </c:pt>
                <c:pt idx="157">
                  <c:v>1446.2021999999999</c:v>
                </c:pt>
                <c:pt idx="158">
                  <c:v>1449.4530999999999</c:v>
                </c:pt>
                <c:pt idx="159">
                  <c:v>1452.704</c:v>
                </c:pt>
                <c:pt idx="160">
                  <c:v>1455.9549</c:v>
                </c:pt>
                <c:pt idx="161">
                  <c:v>1459.2058</c:v>
                </c:pt>
                <c:pt idx="162">
                  <c:v>1462.4567</c:v>
                </c:pt>
                <c:pt idx="163">
                  <c:v>1465.7076</c:v>
                </c:pt>
                <c:pt idx="164">
                  <c:v>1468.9585</c:v>
                </c:pt>
                <c:pt idx="165">
                  <c:v>1472.2094</c:v>
                </c:pt>
                <c:pt idx="166">
                  <c:v>1475.4603</c:v>
                </c:pt>
                <c:pt idx="167">
                  <c:v>1478.7112</c:v>
                </c:pt>
                <c:pt idx="168">
                  <c:v>1481.9621</c:v>
                </c:pt>
                <c:pt idx="169">
                  <c:v>1485.213</c:v>
                </c:pt>
                <c:pt idx="170">
                  <c:v>1488.4639</c:v>
                </c:pt>
                <c:pt idx="171">
                  <c:v>1491.7148</c:v>
                </c:pt>
                <c:pt idx="172">
                  <c:v>1494.9657</c:v>
                </c:pt>
                <c:pt idx="173">
                  <c:v>1498.2166</c:v>
                </c:pt>
                <c:pt idx="174">
                  <c:v>1501.4675</c:v>
                </c:pt>
                <c:pt idx="175">
                  <c:v>1504.7184</c:v>
                </c:pt>
                <c:pt idx="176">
                  <c:v>1507.9693</c:v>
                </c:pt>
                <c:pt idx="177">
                  <c:v>1511.2202</c:v>
                </c:pt>
                <c:pt idx="178">
                  <c:v>1514.4711</c:v>
                </c:pt>
                <c:pt idx="179">
                  <c:v>1517.722</c:v>
                </c:pt>
                <c:pt idx="180">
                  <c:v>1520.9729</c:v>
                </c:pt>
                <c:pt idx="181">
                  <c:v>1524.2238</c:v>
                </c:pt>
                <c:pt idx="182">
                  <c:v>1527.4747</c:v>
                </c:pt>
                <c:pt idx="183">
                  <c:v>1530.7256</c:v>
                </c:pt>
                <c:pt idx="184">
                  <c:v>1533.9765</c:v>
                </c:pt>
                <c:pt idx="185">
                  <c:v>1537.2274</c:v>
                </c:pt>
                <c:pt idx="186">
                  <c:v>1540.4783</c:v>
                </c:pt>
                <c:pt idx="187">
                  <c:v>1543.7292</c:v>
                </c:pt>
                <c:pt idx="188">
                  <c:v>1546.9801</c:v>
                </c:pt>
                <c:pt idx="189">
                  <c:v>1550.231</c:v>
                </c:pt>
                <c:pt idx="190">
                  <c:v>1553.4819</c:v>
                </c:pt>
                <c:pt idx="191">
                  <c:v>1556.7328</c:v>
                </c:pt>
                <c:pt idx="192">
                  <c:v>1559.9837</c:v>
                </c:pt>
                <c:pt idx="193">
                  <c:v>1563.2346</c:v>
                </c:pt>
                <c:pt idx="194">
                  <c:v>1566.4855</c:v>
                </c:pt>
                <c:pt idx="195">
                  <c:v>1569.7364</c:v>
                </c:pt>
                <c:pt idx="196">
                  <c:v>1572.9873</c:v>
                </c:pt>
                <c:pt idx="197">
                  <c:v>1576.2382</c:v>
                </c:pt>
                <c:pt idx="198">
                  <c:v>1579.4891</c:v>
                </c:pt>
                <c:pt idx="199">
                  <c:v>1582.74</c:v>
                </c:pt>
                <c:pt idx="200">
                  <c:v>1585.9909</c:v>
                </c:pt>
                <c:pt idx="201">
                  <c:v>1589.2418</c:v>
                </c:pt>
                <c:pt idx="202">
                  <c:v>1592.4927</c:v>
                </c:pt>
                <c:pt idx="203">
                  <c:v>1595.7436</c:v>
                </c:pt>
                <c:pt idx="204">
                  <c:v>1598.9945</c:v>
                </c:pt>
                <c:pt idx="205">
                  <c:v>1602.2454</c:v>
                </c:pt>
                <c:pt idx="206">
                  <c:v>1605.4963</c:v>
                </c:pt>
                <c:pt idx="207">
                  <c:v>1608.7472</c:v>
                </c:pt>
                <c:pt idx="208">
                  <c:v>1611.9981</c:v>
                </c:pt>
                <c:pt idx="209">
                  <c:v>1615.249</c:v>
                </c:pt>
                <c:pt idx="210">
                  <c:v>1618.4999</c:v>
                </c:pt>
                <c:pt idx="211">
                  <c:v>1621.7508</c:v>
                </c:pt>
                <c:pt idx="212">
                  <c:v>1625.0017</c:v>
                </c:pt>
                <c:pt idx="213">
                  <c:v>1628.2525999999998</c:v>
                </c:pt>
                <c:pt idx="214">
                  <c:v>1631.5034999999998</c:v>
                </c:pt>
                <c:pt idx="215">
                  <c:v>1634.7543999999998</c:v>
                </c:pt>
                <c:pt idx="216">
                  <c:v>1638.0052999999998</c:v>
                </c:pt>
                <c:pt idx="217">
                  <c:v>1641.2561999999998</c:v>
                </c:pt>
                <c:pt idx="218">
                  <c:v>1644.5070999999998</c:v>
                </c:pt>
                <c:pt idx="219">
                  <c:v>1647.7579999999998</c:v>
                </c:pt>
                <c:pt idx="220">
                  <c:v>1651.0088999999998</c:v>
                </c:pt>
                <c:pt idx="221">
                  <c:v>1654.2597999999998</c:v>
                </c:pt>
                <c:pt idx="222">
                  <c:v>1657.5106999999998</c:v>
                </c:pt>
                <c:pt idx="223">
                  <c:v>1660.7615999999998</c:v>
                </c:pt>
                <c:pt idx="224">
                  <c:v>1664.0124999999998</c:v>
                </c:pt>
                <c:pt idx="225">
                  <c:v>1667.2633999999998</c:v>
                </c:pt>
                <c:pt idx="226">
                  <c:v>1670.5142999999998</c:v>
                </c:pt>
                <c:pt idx="227">
                  <c:v>1673.7651999999998</c:v>
                </c:pt>
                <c:pt idx="228">
                  <c:v>1677.0160999999998</c:v>
                </c:pt>
                <c:pt idx="229">
                  <c:v>1680.2669999999998</c:v>
                </c:pt>
                <c:pt idx="230">
                  <c:v>1683.5178999999998</c:v>
                </c:pt>
                <c:pt idx="231">
                  <c:v>1686.7687999999998</c:v>
                </c:pt>
                <c:pt idx="232">
                  <c:v>1690.0196999999998</c:v>
                </c:pt>
                <c:pt idx="233">
                  <c:v>1693.2705999999998</c:v>
                </c:pt>
                <c:pt idx="234">
                  <c:v>1696.5214999999998</c:v>
                </c:pt>
                <c:pt idx="235">
                  <c:v>1699.7723999999998</c:v>
                </c:pt>
                <c:pt idx="236">
                  <c:v>1703.0232999999998</c:v>
                </c:pt>
                <c:pt idx="237">
                  <c:v>1706.2741999999998</c:v>
                </c:pt>
                <c:pt idx="238">
                  <c:v>1709.5250999999998</c:v>
                </c:pt>
                <c:pt idx="239">
                  <c:v>1712.7759999999998</c:v>
                </c:pt>
                <c:pt idx="240">
                  <c:v>1716.0268999999998</c:v>
                </c:pt>
                <c:pt idx="241">
                  <c:v>1719.2777999999998</c:v>
                </c:pt>
                <c:pt idx="242">
                  <c:v>1722.5286999999998</c:v>
                </c:pt>
                <c:pt idx="243">
                  <c:v>1725.7795999999998</c:v>
                </c:pt>
                <c:pt idx="244">
                  <c:v>1729.0304999999998</c:v>
                </c:pt>
                <c:pt idx="245">
                  <c:v>1732.2813999999998</c:v>
                </c:pt>
                <c:pt idx="246">
                  <c:v>1735.5322999999999</c:v>
                </c:pt>
                <c:pt idx="247">
                  <c:v>1738.7831999999999</c:v>
                </c:pt>
                <c:pt idx="248">
                  <c:v>1742.0340999999999</c:v>
                </c:pt>
                <c:pt idx="249">
                  <c:v>1745.2849999999999</c:v>
                </c:pt>
                <c:pt idx="250">
                  <c:v>1748.5358999999999</c:v>
                </c:pt>
                <c:pt idx="251">
                  <c:v>1751.7867999999999</c:v>
                </c:pt>
                <c:pt idx="252">
                  <c:v>1755.0376999999999</c:v>
                </c:pt>
                <c:pt idx="253">
                  <c:v>1758.2885999999999</c:v>
                </c:pt>
                <c:pt idx="254">
                  <c:v>1761.5394999999999</c:v>
                </c:pt>
                <c:pt idx="255">
                  <c:v>1764.7903999999999</c:v>
                </c:pt>
                <c:pt idx="256">
                  <c:v>1768.0412999999999</c:v>
                </c:pt>
                <c:pt idx="257">
                  <c:v>1771.2921999999999</c:v>
                </c:pt>
                <c:pt idx="258">
                  <c:v>1774.5430999999999</c:v>
                </c:pt>
                <c:pt idx="259">
                  <c:v>1777.7939999999999</c:v>
                </c:pt>
                <c:pt idx="260">
                  <c:v>1781.0448999999999</c:v>
                </c:pt>
                <c:pt idx="261">
                  <c:v>1784.2957999999999</c:v>
                </c:pt>
                <c:pt idx="262">
                  <c:v>1787.5466999999999</c:v>
                </c:pt>
                <c:pt idx="263">
                  <c:v>1790.7975999999999</c:v>
                </c:pt>
                <c:pt idx="264">
                  <c:v>1794.0484999999999</c:v>
                </c:pt>
                <c:pt idx="265">
                  <c:v>1797.2993999999999</c:v>
                </c:pt>
                <c:pt idx="266">
                  <c:v>1800.5502999999999</c:v>
                </c:pt>
                <c:pt idx="267">
                  <c:v>1803.8011999999999</c:v>
                </c:pt>
                <c:pt idx="268">
                  <c:v>1807.0520999999999</c:v>
                </c:pt>
                <c:pt idx="269">
                  <c:v>1810.3029999999999</c:v>
                </c:pt>
                <c:pt idx="270">
                  <c:v>1813.5538999999999</c:v>
                </c:pt>
                <c:pt idx="271">
                  <c:v>1816.8047999999999</c:v>
                </c:pt>
                <c:pt idx="272">
                  <c:v>1820.0556999999999</c:v>
                </c:pt>
                <c:pt idx="273">
                  <c:v>1823.3065999999999</c:v>
                </c:pt>
                <c:pt idx="274">
                  <c:v>1826.5574999999999</c:v>
                </c:pt>
                <c:pt idx="275">
                  <c:v>1829.8083999999999</c:v>
                </c:pt>
                <c:pt idx="276">
                  <c:v>1833.0592999999999</c:v>
                </c:pt>
                <c:pt idx="277">
                  <c:v>1836.3101999999999</c:v>
                </c:pt>
                <c:pt idx="278">
                  <c:v>1839.5610999999999</c:v>
                </c:pt>
                <c:pt idx="279">
                  <c:v>1842.8119999999999</c:v>
                </c:pt>
                <c:pt idx="280">
                  <c:v>1846.0628999999999</c:v>
                </c:pt>
                <c:pt idx="281">
                  <c:v>1849.3137999999999</c:v>
                </c:pt>
                <c:pt idx="282">
                  <c:v>1852.5646999999999</c:v>
                </c:pt>
                <c:pt idx="283">
                  <c:v>1855.8155999999999</c:v>
                </c:pt>
                <c:pt idx="284">
                  <c:v>1859.0664999999999</c:v>
                </c:pt>
                <c:pt idx="285">
                  <c:v>1862.3173999999999</c:v>
                </c:pt>
                <c:pt idx="286">
                  <c:v>1865.5682999999999</c:v>
                </c:pt>
                <c:pt idx="287">
                  <c:v>1868.8191999999999</c:v>
                </c:pt>
                <c:pt idx="288">
                  <c:v>1872.0700999999999</c:v>
                </c:pt>
                <c:pt idx="289">
                  <c:v>1875.3209999999999</c:v>
                </c:pt>
                <c:pt idx="290">
                  <c:v>1878.5718999999999</c:v>
                </c:pt>
                <c:pt idx="291">
                  <c:v>1881.8227999999999</c:v>
                </c:pt>
                <c:pt idx="292">
                  <c:v>1885.0736999999999</c:v>
                </c:pt>
                <c:pt idx="293">
                  <c:v>1888.3245999999999</c:v>
                </c:pt>
                <c:pt idx="294">
                  <c:v>1891.5754999999999</c:v>
                </c:pt>
                <c:pt idx="295">
                  <c:v>1894.8263999999999</c:v>
                </c:pt>
                <c:pt idx="296">
                  <c:v>1898.0772999999999</c:v>
                </c:pt>
                <c:pt idx="297">
                  <c:v>1901.3281999999999</c:v>
                </c:pt>
                <c:pt idx="298">
                  <c:v>1904.5790999999999</c:v>
                </c:pt>
                <c:pt idx="299">
                  <c:v>1907.83</c:v>
                </c:pt>
                <c:pt idx="300">
                  <c:v>1911.0808999999999</c:v>
                </c:pt>
                <c:pt idx="301">
                  <c:v>1914.3317999999999</c:v>
                </c:pt>
                <c:pt idx="302">
                  <c:v>1917.5826999999999</c:v>
                </c:pt>
                <c:pt idx="303">
                  <c:v>1920.8335999999999</c:v>
                </c:pt>
                <c:pt idx="304">
                  <c:v>1924.0844999999999</c:v>
                </c:pt>
                <c:pt idx="305">
                  <c:v>1927.3353999999999</c:v>
                </c:pt>
                <c:pt idx="306">
                  <c:v>1930.5862999999999</c:v>
                </c:pt>
                <c:pt idx="307">
                  <c:v>1933.8371999999999</c:v>
                </c:pt>
                <c:pt idx="308">
                  <c:v>1937.0880999999999</c:v>
                </c:pt>
                <c:pt idx="309">
                  <c:v>1940.3389999999999</c:v>
                </c:pt>
                <c:pt idx="310">
                  <c:v>1943.5898999999999</c:v>
                </c:pt>
                <c:pt idx="311">
                  <c:v>1946.8407999999999</c:v>
                </c:pt>
                <c:pt idx="312">
                  <c:v>1950.0916999999999</c:v>
                </c:pt>
                <c:pt idx="313">
                  <c:v>1953.3425999999999</c:v>
                </c:pt>
                <c:pt idx="314">
                  <c:v>1956.5934999999999</c:v>
                </c:pt>
                <c:pt idx="315">
                  <c:v>1959.8444</c:v>
                </c:pt>
                <c:pt idx="316">
                  <c:v>1963.0953</c:v>
                </c:pt>
                <c:pt idx="317">
                  <c:v>1966.3462</c:v>
                </c:pt>
                <c:pt idx="318">
                  <c:v>1969.5971</c:v>
                </c:pt>
                <c:pt idx="319">
                  <c:v>1972.848</c:v>
                </c:pt>
                <c:pt idx="320">
                  <c:v>1976.0989</c:v>
                </c:pt>
                <c:pt idx="321">
                  <c:v>1979.3498</c:v>
                </c:pt>
                <c:pt idx="322">
                  <c:v>1982.6007</c:v>
                </c:pt>
                <c:pt idx="323">
                  <c:v>1985.8516</c:v>
                </c:pt>
                <c:pt idx="324">
                  <c:v>1989.1025</c:v>
                </c:pt>
                <c:pt idx="325">
                  <c:v>1992.3534</c:v>
                </c:pt>
                <c:pt idx="326">
                  <c:v>1995.6043</c:v>
                </c:pt>
                <c:pt idx="327">
                  <c:v>1998.8552</c:v>
                </c:pt>
                <c:pt idx="328">
                  <c:v>2002.1061</c:v>
                </c:pt>
                <c:pt idx="329">
                  <c:v>2005.357</c:v>
                </c:pt>
                <c:pt idx="330">
                  <c:v>2008.6079</c:v>
                </c:pt>
                <c:pt idx="331">
                  <c:v>2011.8588</c:v>
                </c:pt>
                <c:pt idx="332">
                  <c:v>2015.1097</c:v>
                </c:pt>
                <c:pt idx="333">
                  <c:v>2018.3606</c:v>
                </c:pt>
                <c:pt idx="334">
                  <c:v>2021.6115</c:v>
                </c:pt>
                <c:pt idx="335">
                  <c:v>2024.8624</c:v>
                </c:pt>
                <c:pt idx="336">
                  <c:v>2028.1133</c:v>
                </c:pt>
                <c:pt idx="337">
                  <c:v>2031.3642</c:v>
                </c:pt>
                <c:pt idx="338">
                  <c:v>2034.6151</c:v>
                </c:pt>
                <c:pt idx="339">
                  <c:v>2037.866</c:v>
                </c:pt>
                <c:pt idx="340">
                  <c:v>2041.1169</c:v>
                </c:pt>
                <c:pt idx="341">
                  <c:v>2044.3678</c:v>
                </c:pt>
                <c:pt idx="342">
                  <c:v>2047.6187</c:v>
                </c:pt>
                <c:pt idx="343">
                  <c:v>2050.8696</c:v>
                </c:pt>
                <c:pt idx="344">
                  <c:v>2054.1205</c:v>
                </c:pt>
                <c:pt idx="345">
                  <c:v>2057.3714</c:v>
                </c:pt>
                <c:pt idx="346">
                  <c:v>2060.6223</c:v>
                </c:pt>
                <c:pt idx="347">
                  <c:v>2063.8732</c:v>
                </c:pt>
                <c:pt idx="348">
                  <c:v>2067.1241</c:v>
                </c:pt>
                <c:pt idx="349">
                  <c:v>2070.375</c:v>
                </c:pt>
                <c:pt idx="350">
                  <c:v>2073.6259</c:v>
                </c:pt>
                <c:pt idx="351">
                  <c:v>2076.8768</c:v>
                </c:pt>
                <c:pt idx="352">
                  <c:v>2080.1277</c:v>
                </c:pt>
                <c:pt idx="353">
                  <c:v>2083.3786</c:v>
                </c:pt>
                <c:pt idx="354">
                  <c:v>2086.6295</c:v>
                </c:pt>
                <c:pt idx="355">
                  <c:v>2089.8804</c:v>
                </c:pt>
                <c:pt idx="356">
                  <c:v>2093.1313</c:v>
                </c:pt>
                <c:pt idx="357">
                  <c:v>2096.3822</c:v>
                </c:pt>
                <c:pt idx="358">
                  <c:v>2099.6331</c:v>
                </c:pt>
                <c:pt idx="359">
                  <c:v>2102.884</c:v>
                </c:pt>
                <c:pt idx="360">
                  <c:v>2106.1349</c:v>
                </c:pt>
                <c:pt idx="361">
                  <c:v>2109.3858</c:v>
                </c:pt>
                <c:pt idx="362">
                  <c:v>2112.6367</c:v>
                </c:pt>
                <c:pt idx="363">
                  <c:v>2115.8876</c:v>
                </c:pt>
                <c:pt idx="364">
                  <c:v>2119.1385</c:v>
                </c:pt>
                <c:pt idx="365">
                  <c:v>2122.3894</c:v>
                </c:pt>
                <c:pt idx="366">
                  <c:v>2125.6403</c:v>
                </c:pt>
                <c:pt idx="367">
                  <c:v>2128.8912</c:v>
                </c:pt>
                <c:pt idx="368">
                  <c:v>2132.1421</c:v>
                </c:pt>
                <c:pt idx="369">
                  <c:v>2135.393</c:v>
                </c:pt>
                <c:pt idx="370">
                  <c:v>2138.6439</c:v>
                </c:pt>
                <c:pt idx="371">
                  <c:v>2141.8948</c:v>
                </c:pt>
                <c:pt idx="372">
                  <c:v>2145.1457</c:v>
                </c:pt>
                <c:pt idx="373">
                  <c:v>2148.3966</c:v>
                </c:pt>
                <c:pt idx="374">
                  <c:v>2151.6475</c:v>
                </c:pt>
                <c:pt idx="375">
                  <c:v>2154.8984</c:v>
                </c:pt>
                <c:pt idx="376">
                  <c:v>2158.1493</c:v>
                </c:pt>
                <c:pt idx="377">
                  <c:v>2161.4002</c:v>
                </c:pt>
                <c:pt idx="378">
                  <c:v>2164.6511</c:v>
                </c:pt>
                <c:pt idx="379">
                  <c:v>2167.902</c:v>
                </c:pt>
                <c:pt idx="380">
                  <c:v>2171.1529</c:v>
                </c:pt>
                <c:pt idx="381">
                  <c:v>2174.4038</c:v>
                </c:pt>
                <c:pt idx="382">
                  <c:v>2177.6547</c:v>
                </c:pt>
                <c:pt idx="383">
                  <c:v>2180.9056</c:v>
                </c:pt>
                <c:pt idx="384">
                  <c:v>2184.1565000000001</c:v>
                </c:pt>
                <c:pt idx="385">
                  <c:v>2187.4074000000001</c:v>
                </c:pt>
                <c:pt idx="386">
                  <c:v>2190.6583000000001</c:v>
                </c:pt>
                <c:pt idx="387">
                  <c:v>2193.9092000000001</c:v>
                </c:pt>
                <c:pt idx="388">
                  <c:v>2197.1601000000001</c:v>
                </c:pt>
                <c:pt idx="389">
                  <c:v>2200.4110000000001</c:v>
                </c:pt>
                <c:pt idx="390">
                  <c:v>2203.6619000000001</c:v>
                </c:pt>
                <c:pt idx="391">
                  <c:v>2206.9128000000001</c:v>
                </c:pt>
                <c:pt idx="392">
                  <c:v>2210.1637000000001</c:v>
                </c:pt>
                <c:pt idx="393">
                  <c:v>2213.4146000000001</c:v>
                </c:pt>
                <c:pt idx="394">
                  <c:v>2216.6655000000001</c:v>
                </c:pt>
                <c:pt idx="395">
                  <c:v>2219.9164000000001</c:v>
                </c:pt>
                <c:pt idx="396">
                  <c:v>2223.1673000000001</c:v>
                </c:pt>
                <c:pt idx="397">
                  <c:v>2226.4182000000001</c:v>
                </c:pt>
                <c:pt idx="398">
                  <c:v>2229.6691000000001</c:v>
                </c:pt>
                <c:pt idx="399">
                  <c:v>2232.92</c:v>
                </c:pt>
                <c:pt idx="400">
                  <c:v>2236.1709000000001</c:v>
                </c:pt>
                <c:pt idx="401">
                  <c:v>2239.4218000000001</c:v>
                </c:pt>
                <c:pt idx="402">
                  <c:v>2242.6727000000001</c:v>
                </c:pt>
                <c:pt idx="403">
                  <c:v>2245.9236000000001</c:v>
                </c:pt>
                <c:pt idx="404">
                  <c:v>2249.1745000000001</c:v>
                </c:pt>
                <c:pt idx="405">
                  <c:v>2252.4254000000001</c:v>
                </c:pt>
                <c:pt idx="406">
                  <c:v>2255.6763000000001</c:v>
                </c:pt>
                <c:pt idx="407">
                  <c:v>2258.9272000000001</c:v>
                </c:pt>
                <c:pt idx="408">
                  <c:v>2262.1781000000001</c:v>
                </c:pt>
                <c:pt idx="409">
                  <c:v>2265.4290000000001</c:v>
                </c:pt>
                <c:pt idx="410">
                  <c:v>2268.6799000000001</c:v>
                </c:pt>
                <c:pt idx="411">
                  <c:v>2271.9308000000001</c:v>
                </c:pt>
                <c:pt idx="412">
                  <c:v>2275.1817000000001</c:v>
                </c:pt>
                <c:pt idx="413">
                  <c:v>2278.4326000000001</c:v>
                </c:pt>
                <c:pt idx="414">
                  <c:v>2281.6835000000001</c:v>
                </c:pt>
                <c:pt idx="415">
                  <c:v>2284.9344000000001</c:v>
                </c:pt>
                <c:pt idx="416">
                  <c:v>2288.1853000000001</c:v>
                </c:pt>
                <c:pt idx="417">
                  <c:v>2291.4362000000001</c:v>
                </c:pt>
                <c:pt idx="418">
                  <c:v>2294.6871000000001</c:v>
                </c:pt>
                <c:pt idx="419">
                  <c:v>2297.9380000000001</c:v>
                </c:pt>
                <c:pt idx="420">
                  <c:v>2301.1889000000001</c:v>
                </c:pt>
                <c:pt idx="421">
                  <c:v>2304.4398000000001</c:v>
                </c:pt>
                <c:pt idx="422">
                  <c:v>2307.6907000000001</c:v>
                </c:pt>
                <c:pt idx="423">
                  <c:v>2310.9416000000001</c:v>
                </c:pt>
                <c:pt idx="424">
                  <c:v>2314.1925000000001</c:v>
                </c:pt>
                <c:pt idx="425">
                  <c:v>2317.4434000000001</c:v>
                </c:pt>
                <c:pt idx="426">
                  <c:v>2320.6943000000001</c:v>
                </c:pt>
                <c:pt idx="427">
                  <c:v>2323.9452000000001</c:v>
                </c:pt>
                <c:pt idx="428">
                  <c:v>2327.1961000000001</c:v>
                </c:pt>
                <c:pt idx="429">
                  <c:v>2330.4470000000001</c:v>
                </c:pt>
                <c:pt idx="430">
                  <c:v>2333.6979000000001</c:v>
                </c:pt>
                <c:pt idx="431">
                  <c:v>2336.9488000000001</c:v>
                </c:pt>
                <c:pt idx="432">
                  <c:v>2340.1997000000001</c:v>
                </c:pt>
                <c:pt idx="433">
                  <c:v>2343.4506000000001</c:v>
                </c:pt>
                <c:pt idx="434">
                  <c:v>2346.7015000000001</c:v>
                </c:pt>
                <c:pt idx="435">
                  <c:v>2349.9524000000001</c:v>
                </c:pt>
                <c:pt idx="436">
                  <c:v>2353.2033000000001</c:v>
                </c:pt>
                <c:pt idx="437">
                  <c:v>2356.4542000000001</c:v>
                </c:pt>
                <c:pt idx="438">
                  <c:v>2359.7051000000001</c:v>
                </c:pt>
                <c:pt idx="439">
                  <c:v>2362.9560000000001</c:v>
                </c:pt>
                <c:pt idx="440">
                  <c:v>2366.2069000000001</c:v>
                </c:pt>
                <c:pt idx="441">
                  <c:v>2369.4578000000001</c:v>
                </c:pt>
                <c:pt idx="442">
                  <c:v>2372.7087000000001</c:v>
                </c:pt>
                <c:pt idx="443">
                  <c:v>2375.9596000000001</c:v>
                </c:pt>
                <c:pt idx="444">
                  <c:v>2379.2105000000001</c:v>
                </c:pt>
                <c:pt idx="445">
                  <c:v>2382.4614000000001</c:v>
                </c:pt>
                <c:pt idx="446">
                  <c:v>2385.7123000000001</c:v>
                </c:pt>
                <c:pt idx="447">
                  <c:v>2388.9632000000001</c:v>
                </c:pt>
                <c:pt idx="448">
                  <c:v>2392.2141000000001</c:v>
                </c:pt>
                <c:pt idx="449">
                  <c:v>2395.4650000000001</c:v>
                </c:pt>
                <c:pt idx="450">
                  <c:v>2398.7159000000001</c:v>
                </c:pt>
                <c:pt idx="451">
                  <c:v>2401.9668000000001</c:v>
                </c:pt>
                <c:pt idx="452">
                  <c:v>2405.2177000000001</c:v>
                </c:pt>
                <c:pt idx="453">
                  <c:v>2408.4686000000002</c:v>
                </c:pt>
                <c:pt idx="454">
                  <c:v>2411.7195000000002</c:v>
                </c:pt>
                <c:pt idx="455">
                  <c:v>2414.9704000000002</c:v>
                </c:pt>
                <c:pt idx="456">
                  <c:v>2418.2213000000002</c:v>
                </c:pt>
                <c:pt idx="457">
                  <c:v>2421.4722000000002</c:v>
                </c:pt>
                <c:pt idx="458">
                  <c:v>2424.7231000000002</c:v>
                </c:pt>
                <c:pt idx="459">
                  <c:v>2427.9740000000002</c:v>
                </c:pt>
                <c:pt idx="460">
                  <c:v>2431.2249000000002</c:v>
                </c:pt>
                <c:pt idx="461">
                  <c:v>2434.4758000000002</c:v>
                </c:pt>
                <c:pt idx="462">
                  <c:v>2437.7267000000002</c:v>
                </c:pt>
                <c:pt idx="463">
                  <c:v>2440.9776000000002</c:v>
                </c:pt>
                <c:pt idx="464">
                  <c:v>2444.2285000000002</c:v>
                </c:pt>
                <c:pt idx="465">
                  <c:v>2447.4794000000002</c:v>
                </c:pt>
                <c:pt idx="466">
                  <c:v>2450.7303000000002</c:v>
                </c:pt>
                <c:pt idx="467">
                  <c:v>2453.9812000000002</c:v>
                </c:pt>
                <c:pt idx="468">
                  <c:v>2457.2321000000002</c:v>
                </c:pt>
                <c:pt idx="469">
                  <c:v>2460.4830000000002</c:v>
                </c:pt>
                <c:pt idx="470">
                  <c:v>2463.7339000000002</c:v>
                </c:pt>
                <c:pt idx="471">
                  <c:v>2466.9848000000002</c:v>
                </c:pt>
                <c:pt idx="472">
                  <c:v>2470.2357000000002</c:v>
                </c:pt>
                <c:pt idx="473">
                  <c:v>2473.4866000000002</c:v>
                </c:pt>
                <c:pt idx="474">
                  <c:v>2476.7375000000002</c:v>
                </c:pt>
                <c:pt idx="475">
                  <c:v>2479.9884000000002</c:v>
                </c:pt>
                <c:pt idx="476">
                  <c:v>2483.2393000000002</c:v>
                </c:pt>
                <c:pt idx="477">
                  <c:v>2486.4902000000002</c:v>
                </c:pt>
                <c:pt idx="478">
                  <c:v>2489.7411000000002</c:v>
                </c:pt>
                <c:pt idx="479">
                  <c:v>2492.9920000000002</c:v>
                </c:pt>
                <c:pt idx="480">
                  <c:v>2496.2429000000002</c:v>
                </c:pt>
                <c:pt idx="481">
                  <c:v>2499.4938000000002</c:v>
                </c:pt>
                <c:pt idx="482">
                  <c:v>2502.7447000000002</c:v>
                </c:pt>
                <c:pt idx="483">
                  <c:v>2505.9956000000002</c:v>
                </c:pt>
                <c:pt idx="484">
                  <c:v>2509.2465000000002</c:v>
                </c:pt>
                <c:pt idx="485">
                  <c:v>2512.4974000000002</c:v>
                </c:pt>
                <c:pt idx="486">
                  <c:v>2515.7483000000002</c:v>
                </c:pt>
                <c:pt idx="487">
                  <c:v>2518.9992000000002</c:v>
                </c:pt>
                <c:pt idx="488">
                  <c:v>2522.2501000000002</c:v>
                </c:pt>
                <c:pt idx="489">
                  <c:v>2525.5010000000002</c:v>
                </c:pt>
                <c:pt idx="490">
                  <c:v>2528.7519000000002</c:v>
                </c:pt>
                <c:pt idx="491">
                  <c:v>2532.0028000000002</c:v>
                </c:pt>
                <c:pt idx="492">
                  <c:v>2535.2537000000002</c:v>
                </c:pt>
                <c:pt idx="493">
                  <c:v>2538.5046000000002</c:v>
                </c:pt>
                <c:pt idx="494">
                  <c:v>2541.7555000000002</c:v>
                </c:pt>
                <c:pt idx="495">
                  <c:v>2545.0064000000002</c:v>
                </c:pt>
                <c:pt idx="496">
                  <c:v>2548.2573000000002</c:v>
                </c:pt>
                <c:pt idx="497">
                  <c:v>2551.5082000000002</c:v>
                </c:pt>
                <c:pt idx="498">
                  <c:v>2554.7591000000002</c:v>
                </c:pt>
                <c:pt idx="499">
                  <c:v>2558.0100000000002</c:v>
                </c:pt>
                <c:pt idx="500">
                  <c:v>2561.2609000000002</c:v>
                </c:pt>
                <c:pt idx="501">
                  <c:v>2564.5118000000002</c:v>
                </c:pt>
                <c:pt idx="502">
                  <c:v>2567.7627000000002</c:v>
                </c:pt>
                <c:pt idx="503">
                  <c:v>2571.0136000000002</c:v>
                </c:pt>
                <c:pt idx="504">
                  <c:v>2574.2645000000002</c:v>
                </c:pt>
                <c:pt idx="505">
                  <c:v>2577.5154000000002</c:v>
                </c:pt>
                <c:pt idx="506">
                  <c:v>2580.7663000000002</c:v>
                </c:pt>
                <c:pt idx="507">
                  <c:v>2584.0172000000002</c:v>
                </c:pt>
                <c:pt idx="508">
                  <c:v>2587.2681000000002</c:v>
                </c:pt>
                <c:pt idx="509">
                  <c:v>2590.5190000000002</c:v>
                </c:pt>
                <c:pt idx="510">
                  <c:v>2593.7699000000002</c:v>
                </c:pt>
                <c:pt idx="511">
                  <c:v>2597.0208000000002</c:v>
                </c:pt>
              </c:numCache>
            </c:numRef>
          </c:val>
          <c:smooth val="0"/>
          <c:extLst>
            <c:ext xmlns:c16="http://schemas.microsoft.com/office/drawing/2014/chart" uri="{C3380CC4-5D6E-409C-BE32-E72D297353CC}">
              <c16:uniqueId val="{00000000-9465-4B27-8333-7D08C330E307}"/>
            </c:ext>
          </c:extLst>
        </c:ser>
        <c:dLbls>
          <c:showLegendKey val="0"/>
          <c:showVal val="0"/>
          <c:showCatName val="0"/>
          <c:showSerName val="0"/>
          <c:showPercent val="0"/>
          <c:showBubbleSize val="0"/>
        </c:dLbls>
        <c:smooth val="0"/>
        <c:axId val="606278575"/>
        <c:axId val="606281455"/>
      </c:lineChart>
      <c:catAx>
        <c:axId val="6062785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06281455"/>
        <c:crosses val="autoZero"/>
        <c:auto val="1"/>
        <c:lblAlgn val="ctr"/>
        <c:lblOffset val="100"/>
        <c:noMultiLvlLbl val="0"/>
      </c:catAx>
      <c:valAx>
        <c:axId val="60628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0627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Εποχικότητα</a:t>
            </a:r>
            <a:r>
              <a:rPr lang="el-GR" baseline="0"/>
              <a:t> σε βάθος 9 βδομάδων</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lineChart>
        <c:grouping val="stacked"/>
        <c:varyColors val="0"/>
        <c:ser>
          <c:idx val="0"/>
          <c:order val="0"/>
          <c:spPr>
            <a:ln w="28575" cap="rnd">
              <a:solidFill>
                <a:schemeClr val="accent1"/>
              </a:solidFill>
              <a:round/>
            </a:ln>
            <a:effectLst/>
          </c:spPr>
          <c:marker>
            <c:symbol val="none"/>
          </c:marker>
          <c:val>
            <c:numRef>
              <c:f>'Gold Futures Historical Data'!$H$69:$H$77</c:f>
              <c:numCache>
                <c:formatCode>General</c:formatCode>
                <c:ptCount val="9"/>
                <c:pt idx="0">
                  <c:v>174.28643333333338</c:v>
                </c:pt>
                <c:pt idx="1">
                  <c:v>168.29108888888885</c:v>
                </c:pt>
                <c:pt idx="2">
                  <c:v>163.41796666666673</c:v>
                </c:pt>
                <c:pt idx="3">
                  <c:v>168.63373333333334</c:v>
                </c:pt>
                <c:pt idx="4">
                  <c:v>175.06061111111109</c:v>
                </c:pt>
                <c:pt idx="5">
                  <c:v>175.60114444444446</c:v>
                </c:pt>
                <c:pt idx="6">
                  <c:v>183.85024444444448</c:v>
                </c:pt>
                <c:pt idx="7">
                  <c:v>187.5549</c:v>
                </c:pt>
                <c:pt idx="8">
                  <c:v>181.60400000000004</c:v>
                </c:pt>
              </c:numCache>
            </c:numRef>
          </c:val>
          <c:smooth val="0"/>
          <c:extLst>
            <c:ext xmlns:c16="http://schemas.microsoft.com/office/drawing/2014/chart" uri="{C3380CC4-5D6E-409C-BE32-E72D297353CC}">
              <c16:uniqueId val="{00000000-E2B4-471A-B762-DB3E3D08AE4D}"/>
            </c:ext>
          </c:extLst>
        </c:ser>
        <c:dLbls>
          <c:showLegendKey val="0"/>
          <c:showVal val="0"/>
          <c:showCatName val="0"/>
          <c:showSerName val="0"/>
          <c:showPercent val="0"/>
          <c:showBubbleSize val="0"/>
        </c:dLbls>
        <c:smooth val="0"/>
        <c:axId val="661865616"/>
        <c:axId val="661882416"/>
      </c:lineChart>
      <c:catAx>
        <c:axId val="6618656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61882416"/>
        <c:crosses val="autoZero"/>
        <c:auto val="1"/>
        <c:lblAlgn val="ctr"/>
        <c:lblOffset val="100"/>
        <c:noMultiLvlLbl val="0"/>
      </c:catAx>
      <c:valAx>
        <c:axId val="66188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6186561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'Gold Futures Historical Data'!$AC$240</c:f>
              <c:strCache>
                <c:ptCount val="1"/>
                <c:pt idx="0">
                  <c:v>M.O log(r/s)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0.35523316471844285"/>
                  <c:y val="0.72100754216023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trendlineLbl>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trendlineLbl>
          </c:trendline>
          <c:trendline>
            <c:spPr>
              <a:ln w="19050" cap="rnd">
                <a:solidFill>
                  <a:schemeClr val="accent1"/>
                </a:solidFill>
                <a:prstDash val="sysDot"/>
              </a:ln>
              <a:effectLst/>
            </c:spPr>
            <c:trendlineType val="linear"/>
            <c:dispRSqr val="0"/>
            <c:dispEq val="0"/>
          </c:trendline>
          <c:xVal>
            <c:numRef>
              <c:f>'Gold Futures Historical Data'!$AB$241:$AB$245</c:f>
              <c:numCache>
                <c:formatCode>General</c:formatCode>
                <c:ptCount val="5"/>
                <c:pt idx="0">
                  <c:v>1.505149978319906</c:v>
                </c:pt>
                <c:pt idx="1">
                  <c:v>1.2041199826559248</c:v>
                </c:pt>
                <c:pt idx="2">
                  <c:v>0.90308998699194354</c:v>
                </c:pt>
                <c:pt idx="3">
                  <c:v>0.6020599913279624</c:v>
                </c:pt>
                <c:pt idx="4">
                  <c:v>0.3010299956639812</c:v>
                </c:pt>
              </c:numCache>
            </c:numRef>
          </c:xVal>
          <c:yVal>
            <c:numRef>
              <c:f>'Gold Futures Historical Data'!$AC$241:$AC$245</c:f>
              <c:numCache>
                <c:formatCode>General</c:formatCode>
                <c:ptCount val="5"/>
                <c:pt idx="0">
                  <c:v>1.1566510927853586</c:v>
                </c:pt>
                <c:pt idx="1">
                  <c:v>0.74143425813635733</c:v>
                </c:pt>
                <c:pt idx="2">
                  <c:v>0.46710530193349775</c:v>
                </c:pt>
                <c:pt idx="3">
                  <c:v>0.21587586702585293</c:v>
                </c:pt>
                <c:pt idx="4">
                  <c:v>1.5132383839266085E-3</c:v>
                </c:pt>
              </c:numCache>
            </c:numRef>
          </c:yVal>
          <c:smooth val="0"/>
          <c:extLst>
            <c:ext xmlns:c16="http://schemas.microsoft.com/office/drawing/2014/chart" uri="{C3380CC4-5D6E-409C-BE32-E72D297353CC}">
              <c16:uniqueId val="{00000000-E8CF-4CF7-846F-1B1C086A075E}"/>
            </c:ext>
          </c:extLst>
        </c:ser>
        <c:dLbls>
          <c:showLegendKey val="0"/>
          <c:showVal val="0"/>
          <c:showCatName val="0"/>
          <c:showSerName val="0"/>
          <c:showPercent val="0"/>
          <c:showBubbleSize val="0"/>
        </c:dLbls>
        <c:axId val="1641623695"/>
        <c:axId val="195814655"/>
      </c:scatterChart>
      <c:valAx>
        <c:axId val="1641623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log(n)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95814655"/>
        <c:crosses val="autoZero"/>
        <c:crossBetween val="midCat"/>
      </c:valAx>
      <c:valAx>
        <c:axId val="19581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M.O</a:t>
                </a:r>
                <a:r>
                  <a:rPr lang="en-US" baseline="0"/>
                  <a:t> log(r/s)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6416236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Ερώτημα</a:t>
            </a:r>
            <a:r>
              <a:rPr lang="el-GR" baseline="0"/>
              <a:t> 13</a:t>
            </a:r>
            <a:endParaRPr lang="el-G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scatterChart>
        <c:scatterStyle val="lineMarker"/>
        <c:varyColors val="0"/>
        <c:ser>
          <c:idx val="0"/>
          <c:order val="0"/>
          <c:tx>
            <c:strRef>
              <c:f>'Gold Futures Historical Data'!$O$2</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'Gold Futures Historical Data'!$I$2:$I$513</c:f>
              <c:numCache>
                <c:formatCode>General</c:formatCode>
                <c:ptCount val="512"/>
                <c:pt idx="0">
                  <c:v>-46.412044444444405</c:v>
                </c:pt>
                <c:pt idx="1">
                  <c:v>-47.012044444444342</c:v>
                </c:pt>
                <c:pt idx="2">
                  <c:v>-69.667599999999908</c:v>
                </c:pt>
                <c:pt idx="3">
                  <c:v>-29.267599999999902</c:v>
                </c:pt>
                <c:pt idx="4">
                  <c:v>-32.400933333333285</c:v>
                </c:pt>
                <c:pt idx="5">
                  <c:v>-24.05648888888885</c:v>
                </c:pt>
                <c:pt idx="6">
                  <c:v>-2.3342666666665934</c:v>
                </c:pt>
                <c:pt idx="7">
                  <c:v>30.499066666666749</c:v>
                </c:pt>
                <c:pt idx="8">
                  <c:v>102.52128888888905</c:v>
                </c:pt>
                <c:pt idx="9">
                  <c:v>90.129855555555537</c:v>
                </c:pt>
                <c:pt idx="10">
                  <c:v>68.229855555555645</c:v>
                </c:pt>
                <c:pt idx="11">
                  <c:v>111.57430000000008</c:v>
                </c:pt>
                <c:pt idx="12">
                  <c:v>102.97430000000008</c:v>
                </c:pt>
                <c:pt idx="13">
                  <c:v>101.94096666666661</c:v>
                </c:pt>
                <c:pt idx="14">
                  <c:v>71.985411111111091</c:v>
                </c:pt>
                <c:pt idx="15">
                  <c:v>75.507633333333303</c:v>
                </c:pt>
                <c:pt idx="16">
                  <c:v>87.340966666666645</c:v>
                </c:pt>
                <c:pt idx="17">
                  <c:v>68.463188888888851</c:v>
                </c:pt>
                <c:pt idx="18">
                  <c:v>60.071755555555569</c:v>
                </c:pt>
                <c:pt idx="19">
                  <c:v>109.07175555555554</c:v>
                </c:pt>
                <c:pt idx="20">
                  <c:v>105.61620000000002</c:v>
                </c:pt>
                <c:pt idx="21">
                  <c:v>87.016200000000026</c:v>
                </c:pt>
                <c:pt idx="22">
                  <c:v>71.282866666666735</c:v>
                </c:pt>
                <c:pt idx="23">
                  <c:v>37.827311111111214</c:v>
                </c:pt>
                <c:pt idx="24">
                  <c:v>65.64953333333338</c:v>
                </c:pt>
                <c:pt idx="25">
                  <c:v>90.182866666666769</c:v>
                </c:pt>
                <c:pt idx="26">
                  <c:v>99.405088888888884</c:v>
                </c:pt>
                <c:pt idx="27">
                  <c:v>123.21365555555565</c:v>
                </c:pt>
                <c:pt idx="28">
                  <c:v>128.31365555555553</c:v>
                </c:pt>
                <c:pt idx="29">
                  <c:v>140.7581000000001</c:v>
                </c:pt>
                <c:pt idx="30">
                  <c:v>112.45810000000006</c:v>
                </c:pt>
                <c:pt idx="31">
                  <c:v>112.52476666666672</c:v>
                </c:pt>
                <c:pt idx="32">
                  <c:v>149.36921111111116</c:v>
                </c:pt>
                <c:pt idx="33">
                  <c:v>137.89143333333337</c:v>
                </c:pt>
                <c:pt idx="34">
                  <c:v>128.22476666666671</c:v>
                </c:pt>
                <c:pt idx="35">
                  <c:v>121.54698888888896</c:v>
                </c:pt>
                <c:pt idx="36">
                  <c:v>97.455555555555634</c:v>
                </c:pt>
                <c:pt idx="37">
                  <c:v>86.75555555555556</c:v>
                </c:pt>
                <c:pt idx="38">
                  <c:v>87.6</c:v>
                </c:pt>
                <c:pt idx="39">
                  <c:v>66</c:v>
                </c:pt>
                <c:pt idx="40">
                  <c:v>101.56666666666666</c:v>
                </c:pt>
                <c:pt idx="41">
                  <c:v>79.711111111111052</c:v>
                </c:pt>
                <c:pt idx="42">
                  <c:v>16.133333333333354</c:v>
                </c:pt>
                <c:pt idx="43">
                  <c:v>11.266666666666652</c:v>
                </c:pt>
                <c:pt idx="44">
                  <c:v>13.788888888888948</c:v>
                </c:pt>
                <c:pt idx="45">
                  <c:v>19.097455555555484</c:v>
                </c:pt>
                <c:pt idx="46">
                  <c:v>35.297455555555501</c:v>
                </c:pt>
                <c:pt idx="47">
                  <c:v>-51.858100000000064</c:v>
                </c:pt>
                <c:pt idx="48">
                  <c:v>-64.758100000000013</c:v>
                </c:pt>
                <c:pt idx="49">
                  <c:v>-90.991433333333305</c:v>
                </c:pt>
                <c:pt idx="50">
                  <c:v>-88.846988888888916</c:v>
                </c:pt>
                <c:pt idx="51">
                  <c:v>-103.12476666666666</c:v>
                </c:pt>
                <c:pt idx="52">
                  <c:v>-136.09143333333327</c:v>
                </c:pt>
                <c:pt idx="53">
                  <c:v>-149.5692111111112</c:v>
                </c:pt>
                <c:pt idx="54">
                  <c:v>-135.26064444444444</c:v>
                </c:pt>
                <c:pt idx="55">
                  <c:v>-125.06064444444442</c:v>
                </c:pt>
                <c:pt idx="56">
                  <c:v>-109.21619999999999</c:v>
                </c:pt>
                <c:pt idx="57">
                  <c:v>-97.816199999999981</c:v>
                </c:pt>
                <c:pt idx="58">
                  <c:v>-110.24953333333332</c:v>
                </c:pt>
                <c:pt idx="59">
                  <c:v>-75.105088888888929</c:v>
                </c:pt>
                <c:pt idx="60">
                  <c:v>-58.382866666666672</c:v>
                </c:pt>
                <c:pt idx="61">
                  <c:v>-63.649533333333466</c:v>
                </c:pt>
                <c:pt idx="62">
                  <c:v>-54.127311111111169</c:v>
                </c:pt>
                <c:pt idx="63">
                  <c:v>-89.718744444444496</c:v>
                </c:pt>
                <c:pt idx="64">
                  <c:v>-126.31874444444443</c:v>
                </c:pt>
                <c:pt idx="65">
                  <c:v>-104.4743</c:v>
                </c:pt>
                <c:pt idx="66">
                  <c:v>-83.474300000000085</c:v>
                </c:pt>
                <c:pt idx="67">
                  <c:v>-76.707633333333376</c:v>
                </c:pt>
                <c:pt idx="68">
                  <c:v>-67.863188888888942</c:v>
                </c:pt>
                <c:pt idx="69">
                  <c:v>-35.040966666666776</c:v>
                </c:pt>
                <c:pt idx="70">
                  <c:v>-42.907633333333479</c:v>
                </c:pt>
                <c:pt idx="71">
                  <c:v>-73.385411111111182</c:v>
                </c:pt>
                <c:pt idx="72">
                  <c:v>-118.57684444444442</c:v>
                </c:pt>
                <c:pt idx="73">
                  <c:v>-129.27684444444449</c:v>
                </c:pt>
                <c:pt idx="74">
                  <c:v>-110.33240000000015</c:v>
                </c:pt>
                <c:pt idx="75">
                  <c:v>-93.132400000000189</c:v>
                </c:pt>
                <c:pt idx="76">
                  <c:v>-76.96573333333339</c:v>
                </c:pt>
                <c:pt idx="77">
                  <c:v>-83.021288888888819</c:v>
                </c:pt>
                <c:pt idx="78">
                  <c:v>-96.299066666666789</c:v>
                </c:pt>
                <c:pt idx="79">
                  <c:v>-104.86573333333331</c:v>
                </c:pt>
                <c:pt idx="80">
                  <c:v>-128.6435111111112</c:v>
                </c:pt>
                <c:pt idx="81">
                  <c:v>-165.03494444444448</c:v>
                </c:pt>
                <c:pt idx="82">
                  <c:v>-158.73494444444455</c:v>
                </c:pt>
                <c:pt idx="83">
                  <c:v>-138.29049999999998</c:v>
                </c:pt>
                <c:pt idx="84">
                  <c:v>-115.19050000000016</c:v>
                </c:pt>
                <c:pt idx="85">
                  <c:v>-121.82383333333354</c:v>
                </c:pt>
                <c:pt idx="86">
                  <c:v>-89.679388888888923</c:v>
                </c:pt>
                <c:pt idx="87">
                  <c:v>-90.457166666666893</c:v>
                </c:pt>
                <c:pt idx="88">
                  <c:v>-92.623833333333323</c:v>
                </c:pt>
                <c:pt idx="89">
                  <c:v>-69.801611111111072</c:v>
                </c:pt>
                <c:pt idx="90">
                  <c:v>-52.79304444444449</c:v>
                </c:pt>
                <c:pt idx="91">
                  <c:v>-90.293044444444519</c:v>
                </c:pt>
                <c:pt idx="92">
                  <c:v>-124.94860000000008</c:v>
                </c:pt>
                <c:pt idx="93">
                  <c:v>-134.94860000000017</c:v>
                </c:pt>
                <c:pt idx="94">
                  <c:v>-140.78193333333337</c:v>
                </c:pt>
                <c:pt idx="95">
                  <c:v>-108.33748888888903</c:v>
                </c:pt>
                <c:pt idx="96">
                  <c:v>-130.81526666666682</c:v>
                </c:pt>
                <c:pt idx="97">
                  <c:v>-147.98193333333347</c:v>
                </c:pt>
                <c:pt idx="98">
                  <c:v>-160.25971111111113</c:v>
                </c:pt>
                <c:pt idx="99">
                  <c:v>-159.0511444444445</c:v>
                </c:pt>
                <c:pt idx="100">
                  <c:v>-148.25114444444458</c:v>
                </c:pt>
                <c:pt idx="101">
                  <c:v>-164.40670000000014</c:v>
                </c:pt>
                <c:pt idx="102">
                  <c:v>-166.70670000000018</c:v>
                </c:pt>
                <c:pt idx="103">
                  <c:v>-196.54003333333338</c:v>
                </c:pt>
                <c:pt idx="104">
                  <c:v>-184.69558888888895</c:v>
                </c:pt>
                <c:pt idx="105">
                  <c:v>-161.77336666666687</c:v>
                </c:pt>
                <c:pt idx="106">
                  <c:v>-139.74003333333326</c:v>
                </c:pt>
                <c:pt idx="107">
                  <c:v>-136.41781111111101</c:v>
                </c:pt>
                <c:pt idx="108">
                  <c:v>-127.60924444444424</c:v>
                </c:pt>
                <c:pt idx="109">
                  <c:v>-140.90924444444445</c:v>
                </c:pt>
                <c:pt idx="110">
                  <c:v>-128.86479999999997</c:v>
                </c:pt>
                <c:pt idx="111">
                  <c:v>-140.96479999999997</c:v>
                </c:pt>
                <c:pt idx="112">
                  <c:v>-158.49813333333321</c:v>
                </c:pt>
                <c:pt idx="113">
                  <c:v>-115.25368888888869</c:v>
                </c:pt>
                <c:pt idx="114">
                  <c:v>-139.53146666666666</c:v>
                </c:pt>
                <c:pt idx="115">
                  <c:v>-154.89813333333313</c:v>
                </c:pt>
                <c:pt idx="116">
                  <c:v>-163.97591111111097</c:v>
                </c:pt>
                <c:pt idx="117">
                  <c:v>-179.46734444444439</c:v>
                </c:pt>
                <c:pt idx="118">
                  <c:v>-153.36734444444429</c:v>
                </c:pt>
                <c:pt idx="119">
                  <c:v>-182.92289999999994</c:v>
                </c:pt>
                <c:pt idx="120">
                  <c:v>-171.42290000000003</c:v>
                </c:pt>
                <c:pt idx="121">
                  <c:v>-155.55623333333318</c:v>
                </c:pt>
                <c:pt idx="122">
                  <c:v>-162.41178888888879</c:v>
                </c:pt>
                <c:pt idx="123">
                  <c:v>-175.68956666666654</c:v>
                </c:pt>
                <c:pt idx="124">
                  <c:v>-192.85623333333319</c:v>
                </c:pt>
                <c:pt idx="125">
                  <c:v>-196.53401111111094</c:v>
                </c:pt>
                <c:pt idx="126">
                  <c:v>-229.72544444444441</c:v>
                </c:pt>
                <c:pt idx="127">
                  <c:v>-228.82544444444434</c:v>
                </c:pt>
                <c:pt idx="128">
                  <c:v>-240.18099999999995</c:v>
                </c:pt>
                <c:pt idx="129">
                  <c:v>-234.0809999999999</c:v>
                </c:pt>
                <c:pt idx="130">
                  <c:v>-254.21433333333329</c:v>
                </c:pt>
                <c:pt idx="131">
                  <c:v>-259.26988888888872</c:v>
                </c:pt>
                <c:pt idx="132">
                  <c:v>-273.84766666666667</c:v>
                </c:pt>
                <c:pt idx="133">
                  <c:v>-281.0143333333333</c:v>
                </c:pt>
                <c:pt idx="134">
                  <c:v>-305.29211111111096</c:v>
                </c:pt>
                <c:pt idx="135">
                  <c:v>-319.18354444444446</c:v>
                </c:pt>
                <c:pt idx="136">
                  <c:v>-338.78354444444437</c:v>
                </c:pt>
                <c:pt idx="137">
                  <c:v>-345.53909999999985</c:v>
                </c:pt>
                <c:pt idx="138">
                  <c:v>-347.03909999999996</c:v>
                </c:pt>
                <c:pt idx="139">
                  <c:v>-377.77243333333325</c:v>
                </c:pt>
                <c:pt idx="140">
                  <c:v>-345.92798888888882</c:v>
                </c:pt>
                <c:pt idx="141">
                  <c:v>-350.90576666666664</c:v>
                </c:pt>
                <c:pt idx="142">
                  <c:v>-365.67243333333317</c:v>
                </c:pt>
                <c:pt idx="143">
                  <c:v>-374.6502111111111</c:v>
                </c:pt>
                <c:pt idx="144">
                  <c:v>-378.24164444444443</c:v>
                </c:pt>
                <c:pt idx="145">
                  <c:v>-394.84164444444434</c:v>
                </c:pt>
                <c:pt idx="146">
                  <c:v>-392.3972</c:v>
                </c:pt>
                <c:pt idx="147">
                  <c:v>-373.29719999999998</c:v>
                </c:pt>
                <c:pt idx="148">
                  <c:v>-362.53053333333327</c:v>
                </c:pt>
                <c:pt idx="149">
                  <c:v>-352.68608888888883</c:v>
                </c:pt>
                <c:pt idx="150">
                  <c:v>-353.56386666666674</c:v>
                </c:pt>
                <c:pt idx="151">
                  <c:v>-386.73053333333337</c:v>
                </c:pt>
                <c:pt idx="152">
                  <c:v>-382.00831111111103</c:v>
                </c:pt>
                <c:pt idx="153">
                  <c:v>-385.59974444444435</c:v>
                </c:pt>
                <c:pt idx="154">
                  <c:v>-394.2997444444444</c:v>
                </c:pt>
                <c:pt idx="155">
                  <c:v>-374.65530000000001</c:v>
                </c:pt>
                <c:pt idx="156">
                  <c:v>-383.1552999999999</c:v>
                </c:pt>
                <c:pt idx="157">
                  <c:v>-362.38863333333342</c:v>
                </c:pt>
                <c:pt idx="158">
                  <c:v>-334.7441888888888</c:v>
                </c:pt>
                <c:pt idx="159">
                  <c:v>-330.32196666666675</c:v>
                </c:pt>
                <c:pt idx="160">
                  <c:v>-335.08863333333329</c:v>
                </c:pt>
                <c:pt idx="161">
                  <c:v>-351.66641111111113</c:v>
                </c:pt>
                <c:pt idx="162">
                  <c:v>-339.9578444444445</c:v>
                </c:pt>
                <c:pt idx="163">
                  <c:v>-327.4578444444445</c:v>
                </c:pt>
                <c:pt idx="164">
                  <c:v>-338.01339999999993</c:v>
                </c:pt>
                <c:pt idx="165">
                  <c:v>-331.71340000000009</c:v>
                </c:pt>
                <c:pt idx="166">
                  <c:v>-316.94673333333338</c:v>
                </c:pt>
                <c:pt idx="167">
                  <c:v>-347.80228888888877</c:v>
                </c:pt>
                <c:pt idx="168">
                  <c:v>-346.08006666666677</c:v>
                </c:pt>
                <c:pt idx="169">
                  <c:v>-350.94673333333321</c:v>
                </c:pt>
                <c:pt idx="170">
                  <c:v>-351.2245111111111</c:v>
                </c:pt>
                <c:pt idx="171">
                  <c:v>-362.81594444444443</c:v>
                </c:pt>
                <c:pt idx="172">
                  <c:v>-377.11594444444438</c:v>
                </c:pt>
                <c:pt idx="173">
                  <c:v>-384.5714999999999</c:v>
                </c:pt>
                <c:pt idx="174">
                  <c:v>-401.07150000000001</c:v>
                </c:pt>
                <c:pt idx="175">
                  <c:v>-384.2048333333334</c:v>
                </c:pt>
                <c:pt idx="176">
                  <c:v>-389.06038888888878</c:v>
                </c:pt>
                <c:pt idx="177">
                  <c:v>-381.33816666666678</c:v>
                </c:pt>
                <c:pt idx="178">
                  <c:v>-401.70483333333323</c:v>
                </c:pt>
                <c:pt idx="179">
                  <c:v>-403.58261111111102</c:v>
                </c:pt>
                <c:pt idx="180">
                  <c:v>-379.67404444444435</c:v>
                </c:pt>
                <c:pt idx="181">
                  <c:v>-356.27404444444448</c:v>
                </c:pt>
                <c:pt idx="182">
                  <c:v>-364.62959999999987</c:v>
                </c:pt>
                <c:pt idx="183">
                  <c:v>-306.42959999999994</c:v>
                </c:pt>
                <c:pt idx="184">
                  <c:v>-288.66293333333346</c:v>
                </c:pt>
                <c:pt idx="185">
                  <c:v>-299.21848888888888</c:v>
                </c:pt>
                <c:pt idx="186">
                  <c:v>-285.39626666666675</c:v>
                </c:pt>
                <c:pt idx="187">
                  <c:v>-279.16293333333329</c:v>
                </c:pt>
                <c:pt idx="188">
                  <c:v>-296.14071111111099</c:v>
                </c:pt>
                <c:pt idx="189">
                  <c:v>-268.33214444444445</c:v>
                </c:pt>
                <c:pt idx="190">
                  <c:v>-228.83214444444448</c:v>
                </c:pt>
                <c:pt idx="191">
                  <c:v>-220.68770000000009</c:v>
                </c:pt>
                <c:pt idx="192">
                  <c:v>-203.98770000000013</c:v>
                </c:pt>
                <c:pt idx="193">
                  <c:v>-208.12103333333329</c:v>
                </c:pt>
                <c:pt idx="194">
                  <c:v>-219.27658888888885</c:v>
                </c:pt>
                <c:pt idx="195">
                  <c:v>-233.65436666666673</c:v>
                </c:pt>
                <c:pt idx="196">
                  <c:v>-226.52103333333343</c:v>
                </c:pt>
                <c:pt idx="197">
                  <c:v>-238.19881111111118</c:v>
                </c:pt>
                <c:pt idx="198">
                  <c:v>-235.39024444444442</c:v>
                </c:pt>
                <c:pt idx="199">
                  <c:v>-271.09024444444447</c:v>
                </c:pt>
                <c:pt idx="200">
                  <c:v>-272.54579999999999</c:v>
                </c:pt>
                <c:pt idx="201">
                  <c:v>-258.5458000000001</c:v>
                </c:pt>
                <c:pt idx="202">
                  <c:v>-248.27913333333339</c:v>
                </c:pt>
                <c:pt idx="203">
                  <c:v>-294.23468888888891</c:v>
                </c:pt>
                <c:pt idx="204">
                  <c:v>-287.01246666666668</c:v>
                </c:pt>
                <c:pt idx="205">
                  <c:v>-300.37913333333336</c:v>
                </c:pt>
                <c:pt idx="206">
                  <c:v>-302.4569111111112</c:v>
                </c:pt>
                <c:pt idx="207">
                  <c:v>-313.64834444444443</c:v>
                </c:pt>
                <c:pt idx="208">
                  <c:v>-308.94834444444439</c:v>
                </c:pt>
                <c:pt idx="209">
                  <c:v>-316.20390000000009</c:v>
                </c:pt>
                <c:pt idx="210">
                  <c:v>-276.00390000000016</c:v>
                </c:pt>
                <c:pt idx="211">
                  <c:v>-237.33723333333336</c:v>
                </c:pt>
                <c:pt idx="212">
                  <c:v>-226.89278888888879</c:v>
                </c:pt>
                <c:pt idx="213">
                  <c:v>-225.17056666666653</c:v>
                </c:pt>
                <c:pt idx="214">
                  <c:v>-221.9372333333331</c:v>
                </c:pt>
                <c:pt idx="215">
                  <c:v>-216.01501111111094</c:v>
                </c:pt>
                <c:pt idx="216">
                  <c:v>-234.40644444444422</c:v>
                </c:pt>
                <c:pt idx="217">
                  <c:v>-233.2064444444442</c:v>
                </c:pt>
                <c:pt idx="218">
                  <c:v>-177.4619999999999</c:v>
                </c:pt>
                <c:pt idx="219">
                  <c:v>-257.5619999999999</c:v>
                </c:pt>
                <c:pt idx="220">
                  <c:v>-149.19533333333328</c:v>
                </c:pt>
                <c:pt idx="221">
                  <c:v>-303.05088888888866</c:v>
                </c:pt>
                <c:pt idx="222">
                  <c:v>-332.82866666666666</c:v>
                </c:pt>
                <c:pt idx="223">
                  <c:v>-175.29533333333325</c:v>
                </c:pt>
                <c:pt idx="224">
                  <c:v>-193.5731111111109</c:v>
                </c:pt>
                <c:pt idx="225">
                  <c:v>-90.764544444444368</c:v>
                </c:pt>
                <c:pt idx="226">
                  <c:v>-154.2645444444444</c:v>
                </c:pt>
                <c:pt idx="227">
                  <c:v>-121.62009999999978</c:v>
                </c:pt>
                <c:pt idx="228">
                  <c:v>-151.42009999999982</c:v>
                </c:pt>
                <c:pt idx="229">
                  <c:v>-127.95343333333329</c:v>
                </c:pt>
                <c:pt idx="230">
                  <c:v>-83.808988888888678</c:v>
                </c:pt>
                <c:pt idx="231">
                  <c:v>-96.686766666666557</c:v>
                </c:pt>
                <c:pt idx="232">
                  <c:v>-97.953433333333123</c:v>
                </c:pt>
                <c:pt idx="233">
                  <c:v>-174.23121111111101</c:v>
                </c:pt>
                <c:pt idx="234">
                  <c:v>-125.92264444444424</c:v>
                </c:pt>
                <c:pt idx="235">
                  <c:v>-122.62264444444432</c:v>
                </c:pt>
                <c:pt idx="236">
                  <c:v>-100.77819999999988</c:v>
                </c:pt>
                <c:pt idx="237">
                  <c:v>-86.878199999999879</c:v>
                </c:pt>
                <c:pt idx="238">
                  <c:v>-81.911533333333125</c:v>
                </c:pt>
                <c:pt idx="239">
                  <c:v>-65.467088888888782</c:v>
                </c:pt>
                <c:pt idx="240">
                  <c:v>-58.544866666666479</c:v>
                </c:pt>
                <c:pt idx="241">
                  <c:v>22.188466666666727</c:v>
                </c:pt>
                <c:pt idx="242">
                  <c:v>88.31068888888916</c:v>
                </c:pt>
                <c:pt idx="243">
                  <c:v>126.6192555555557</c:v>
                </c:pt>
                <c:pt idx="244">
                  <c:v>36.919255555555623</c:v>
                </c:pt>
                <c:pt idx="245">
                  <c:v>27.163700000000148</c:v>
                </c:pt>
                <c:pt idx="246">
                  <c:v>57.763700000000199</c:v>
                </c:pt>
                <c:pt idx="247">
                  <c:v>21.230366666666725</c:v>
                </c:pt>
                <c:pt idx="248">
                  <c:v>37.574811111111387</c:v>
                </c:pt>
                <c:pt idx="249">
                  <c:v>53.397033333333326</c:v>
                </c:pt>
                <c:pt idx="250">
                  <c:v>-50.86963333333324</c:v>
                </c:pt>
                <c:pt idx="251">
                  <c:v>-12.147411111110898</c:v>
                </c:pt>
                <c:pt idx="252">
                  <c:v>2.9611555555555924</c:v>
                </c:pt>
                <c:pt idx="253">
                  <c:v>-28.138844444444345</c:v>
                </c:pt>
                <c:pt idx="254">
                  <c:v>-36.39439999999982</c:v>
                </c:pt>
                <c:pt idx="255">
                  <c:v>-59.19439999999986</c:v>
                </c:pt>
                <c:pt idx="256">
                  <c:v>16.772266666666667</c:v>
                </c:pt>
                <c:pt idx="257">
                  <c:v>-46.583288888888717</c:v>
                </c:pt>
                <c:pt idx="258">
                  <c:v>-59.761066666666551</c:v>
                </c:pt>
                <c:pt idx="259">
                  <c:v>-154.3277333333333</c:v>
                </c:pt>
                <c:pt idx="260">
                  <c:v>-112.10551111111096</c:v>
                </c:pt>
                <c:pt idx="261">
                  <c:v>-112.29694444444442</c:v>
                </c:pt>
                <c:pt idx="262">
                  <c:v>-78.396944444444358</c:v>
                </c:pt>
                <c:pt idx="263">
                  <c:v>-90.952499999999787</c:v>
                </c:pt>
                <c:pt idx="264">
                  <c:v>-76.052500000000009</c:v>
                </c:pt>
                <c:pt idx="265">
                  <c:v>-131.88583333333321</c:v>
                </c:pt>
                <c:pt idx="266">
                  <c:v>-135.14138888888868</c:v>
                </c:pt>
                <c:pt idx="267">
                  <c:v>-107.31916666666652</c:v>
                </c:pt>
                <c:pt idx="268">
                  <c:v>-122.98583333333318</c:v>
                </c:pt>
                <c:pt idx="269">
                  <c:v>-169.76361111111106</c:v>
                </c:pt>
                <c:pt idx="270">
                  <c:v>-163.15504444444434</c:v>
                </c:pt>
                <c:pt idx="271">
                  <c:v>-220.35504444444442</c:v>
                </c:pt>
                <c:pt idx="272">
                  <c:v>-276.01059999999995</c:v>
                </c:pt>
                <c:pt idx="273">
                  <c:v>-303.31060000000002</c:v>
                </c:pt>
                <c:pt idx="274">
                  <c:v>-278.44393333333318</c:v>
                </c:pt>
                <c:pt idx="275">
                  <c:v>-254.19948888888865</c:v>
                </c:pt>
                <c:pt idx="276">
                  <c:v>-261.77726666666661</c:v>
                </c:pt>
                <c:pt idx="277">
                  <c:v>-274.64393333333328</c:v>
                </c:pt>
                <c:pt idx="278">
                  <c:v>-267.82171111111103</c:v>
                </c:pt>
                <c:pt idx="279">
                  <c:v>-236.21314444444431</c:v>
                </c:pt>
                <c:pt idx="280">
                  <c:v>-250.01314444444429</c:v>
                </c:pt>
                <c:pt idx="281">
                  <c:v>-267.06869999999992</c:v>
                </c:pt>
                <c:pt idx="282">
                  <c:v>-200.66869999999994</c:v>
                </c:pt>
                <c:pt idx="283">
                  <c:v>-190.10203333333328</c:v>
                </c:pt>
                <c:pt idx="284">
                  <c:v>-148.45758888888867</c:v>
                </c:pt>
                <c:pt idx="285">
                  <c:v>-118.83536666666654</c:v>
                </c:pt>
                <c:pt idx="286">
                  <c:v>-140.40203333333329</c:v>
                </c:pt>
                <c:pt idx="287">
                  <c:v>-162.17981111111095</c:v>
                </c:pt>
                <c:pt idx="288">
                  <c:v>-276.77124444444428</c:v>
                </c:pt>
                <c:pt idx="289">
                  <c:v>-279.37124444444441</c:v>
                </c:pt>
                <c:pt idx="290">
                  <c:v>-280.92679999999984</c:v>
                </c:pt>
                <c:pt idx="291">
                  <c:v>-251.32680000000005</c:v>
                </c:pt>
                <c:pt idx="292">
                  <c:v>-242.66013333333325</c:v>
                </c:pt>
                <c:pt idx="293">
                  <c:v>-253.01568888888886</c:v>
                </c:pt>
                <c:pt idx="294">
                  <c:v>-237.7934666666666</c:v>
                </c:pt>
                <c:pt idx="295">
                  <c:v>-300.36013333333335</c:v>
                </c:pt>
                <c:pt idx="296">
                  <c:v>-294.93791111111096</c:v>
                </c:pt>
                <c:pt idx="297">
                  <c:v>-292.92934444444438</c:v>
                </c:pt>
                <c:pt idx="298">
                  <c:v>-268.92934444444438</c:v>
                </c:pt>
                <c:pt idx="299">
                  <c:v>-261.68489999999986</c:v>
                </c:pt>
                <c:pt idx="300">
                  <c:v>-300.58490000000006</c:v>
                </c:pt>
                <c:pt idx="301">
                  <c:v>-337.21823333333322</c:v>
                </c:pt>
                <c:pt idx="302">
                  <c:v>-334.17378888888874</c:v>
                </c:pt>
                <c:pt idx="303">
                  <c:v>-324.15156666666678</c:v>
                </c:pt>
                <c:pt idx="304">
                  <c:v>-333.31823333333318</c:v>
                </c:pt>
                <c:pt idx="305">
                  <c:v>-332.19601111111098</c:v>
                </c:pt>
                <c:pt idx="306">
                  <c:v>-307.88744444444444</c:v>
                </c:pt>
                <c:pt idx="307">
                  <c:v>-331.7874444444443</c:v>
                </c:pt>
                <c:pt idx="308">
                  <c:v>-305.64299999999992</c:v>
                </c:pt>
                <c:pt idx="309">
                  <c:v>-251.14300000000003</c:v>
                </c:pt>
                <c:pt idx="310">
                  <c:v>-263.57633333333337</c:v>
                </c:pt>
                <c:pt idx="311">
                  <c:v>-327.03188888888889</c:v>
                </c:pt>
                <c:pt idx="312">
                  <c:v>-327.70966666666675</c:v>
                </c:pt>
                <c:pt idx="313">
                  <c:v>-334.97633333333329</c:v>
                </c:pt>
                <c:pt idx="314">
                  <c:v>-324.35411111111108</c:v>
                </c:pt>
                <c:pt idx="315">
                  <c:v>-321.44554444444441</c:v>
                </c:pt>
                <c:pt idx="316">
                  <c:v>-315.94554444444441</c:v>
                </c:pt>
                <c:pt idx="317">
                  <c:v>-354.00109999999984</c:v>
                </c:pt>
                <c:pt idx="318">
                  <c:v>-332.2011</c:v>
                </c:pt>
                <c:pt idx="319">
                  <c:v>-313.03443333333342</c:v>
                </c:pt>
                <c:pt idx="320">
                  <c:v>-355.08998888888885</c:v>
                </c:pt>
                <c:pt idx="321">
                  <c:v>-331.96776666666676</c:v>
                </c:pt>
                <c:pt idx="322">
                  <c:v>-305.7344333333333</c:v>
                </c:pt>
                <c:pt idx="323">
                  <c:v>-257.81221111111114</c:v>
                </c:pt>
                <c:pt idx="324">
                  <c:v>-273.90364444444447</c:v>
                </c:pt>
                <c:pt idx="325">
                  <c:v>-206.30364444444436</c:v>
                </c:pt>
                <c:pt idx="326">
                  <c:v>-193.75919999999988</c:v>
                </c:pt>
                <c:pt idx="327">
                  <c:v>-246.55919999999992</c:v>
                </c:pt>
                <c:pt idx="328">
                  <c:v>-216.59253333333339</c:v>
                </c:pt>
                <c:pt idx="329">
                  <c:v>-244.44808888888878</c:v>
                </c:pt>
                <c:pt idx="330">
                  <c:v>-219.82586666666666</c:v>
                </c:pt>
                <c:pt idx="331">
                  <c:v>-198.8925333333334</c:v>
                </c:pt>
                <c:pt idx="332">
                  <c:v>-248.77031111111097</c:v>
                </c:pt>
                <c:pt idx="333">
                  <c:v>-275.36174444444453</c:v>
                </c:pt>
                <c:pt idx="334">
                  <c:v>-315.26174444444439</c:v>
                </c:pt>
                <c:pt idx="335">
                  <c:v>-397.6173</c:v>
                </c:pt>
                <c:pt idx="336">
                  <c:v>-361.31729999999993</c:v>
                </c:pt>
                <c:pt idx="337">
                  <c:v>-340.65063333333336</c:v>
                </c:pt>
                <c:pt idx="338">
                  <c:v>-344.60618888888888</c:v>
                </c:pt>
                <c:pt idx="339">
                  <c:v>-317.38396666666665</c:v>
                </c:pt>
                <c:pt idx="340">
                  <c:v>-360.15063333333342</c:v>
                </c:pt>
                <c:pt idx="341">
                  <c:v>-380.12841111111112</c:v>
                </c:pt>
                <c:pt idx="342">
                  <c:v>-412.81984444444436</c:v>
                </c:pt>
                <c:pt idx="343">
                  <c:v>-483.81984444444436</c:v>
                </c:pt>
                <c:pt idx="344">
                  <c:v>-530.07540000000006</c:v>
                </c:pt>
                <c:pt idx="345">
                  <c:v>-503.97540000000004</c:v>
                </c:pt>
                <c:pt idx="346">
                  <c:v>-453.10873333333342</c:v>
                </c:pt>
                <c:pt idx="347">
                  <c:v>-440.9642888888888</c:v>
                </c:pt>
                <c:pt idx="348">
                  <c:v>-415.04206666666676</c:v>
                </c:pt>
                <c:pt idx="349">
                  <c:v>-476.10873333333325</c:v>
                </c:pt>
                <c:pt idx="350">
                  <c:v>-498.88651111111113</c:v>
                </c:pt>
                <c:pt idx="351">
                  <c:v>-529.87794444444455</c:v>
                </c:pt>
                <c:pt idx="352">
                  <c:v>-535.37794444444455</c:v>
                </c:pt>
                <c:pt idx="353">
                  <c:v>-587.43349999999998</c:v>
                </c:pt>
                <c:pt idx="354">
                  <c:v>-612.63350000000014</c:v>
                </c:pt>
                <c:pt idx="355">
                  <c:v>-579.26683333333335</c:v>
                </c:pt>
                <c:pt idx="356">
                  <c:v>-538.62238888888896</c:v>
                </c:pt>
                <c:pt idx="357">
                  <c:v>-597.00016666666681</c:v>
                </c:pt>
                <c:pt idx="358">
                  <c:v>-598.06683333333331</c:v>
                </c:pt>
                <c:pt idx="359">
                  <c:v>-618.84461111111113</c:v>
                </c:pt>
                <c:pt idx="360">
                  <c:v>-591.13604444444456</c:v>
                </c:pt>
                <c:pt idx="361">
                  <c:v>-509.73604444444447</c:v>
                </c:pt>
                <c:pt idx="362">
                  <c:v>-531.19159999999999</c:v>
                </c:pt>
                <c:pt idx="363">
                  <c:v>-528.69160000000011</c:v>
                </c:pt>
                <c:pt idx="364">
                  <c:v>-468.72493333333335</c:v>
                </c:pt>
                <c:pt idx="365">
                  <c:v>-464.78048888888878</c:v>
                </c:pt>
                <c:pt idx="366">
                  <c:v>-473.45826666666687</c:v>
                </c:pt>
                <c:pt idx="367">
                  <c:v>-477.72493333333341</c:v>
                </c:pt>
                <c:pt idx="368">
                  <c:v>-465.00271111111107</c:v>
                </c:pt>
                <c:pt idx="369">
                  <c:v>-484.79414444444444</c:v>
                </c:pt>
                <c:pt idx="370">
                  <c:v>-436.5941444444444</c:v>
                </c:pt>
                <c:pt idx="371">
                  <c:v>-459.74969999999996</c:v>
                </c:pt>
                <c:pt idx="372">
                  <c:v>-388.24970000000008</c:v>
                </c:pt>
                <c:pt idx="373">
                  <c:v>-377.78303333333332</c:v>
                </c:pt>
                <c:pt idx="374">
                  <c:v>-374.33858888888898</c:v>
                </c:pt>
                <c:pt idx="375">
                  <c:v>-425.01636666666684</c:v>
                </c:pt>
                <c:pt idx="376">
                  <c:v>-435.58303333333333</c:v>
                </c:pt>
                <c:pt idx="377">
                  <c:v>-469.56081111111104</c:v>
                </c:pt>
                <c:pt idx="378">
                  <c:v>-506.35224444444441</c:v>
                </c:pt>
                <c:pt idx="379">
                  <c:v>-480.35224444444441</c:v>
                </c:pt>
                <c:pt idx="380">
                  <c:v>-474.70780000000002</c:v>
                </c:pt>
                <c:pt idx="381">
                  <c:v>-365.80780000000004</c:v>
                </c:pt>
                <c:pt idx="382">
                  <c:v>-350.24113333333338</c:v>
                </c:pt>
                <c:pt idx="383">
                  <c:v>-345.09668888888899</c:v>
                </c:pt>
                <c:pt idx="384">
                  <c:v>-303.17446666666672</c:v>
                </c:pt>
                <c:pt idx="385">
                  <c:v>-321.6411333333333</c:v>
                </c:pt>
                <c:pt idx="386">
                  <c:v>-356.51891111111109</c:v>
                </c:pt>
                <c:pt idx="387">
                  <c:v>-351.21034444444456</c:v>
                </c:pt>
                <c:pt idx="388">
                  <c:v>-336.81034444444447</c:v>
                </c:pt>
                <c:pt idx="389">
                  <c:v>-348.86590000000012</c:v>
                </c:pt>
                <c:pt idx="390">
                  <c:v>-384.96590000000015</c:v>
                </c:pt>
                <c:pt idx="391">
                  <c:v>-418.09923333333353</c:v>
                </c:pt>
                <c:pt idx="392">
                  <c:v>-389.354788888889</c:v>
                </c:pt>
                <c:pt idx="393">
                  <c:v>-380.03256666666687</c:v>
                </c:pt>
                <c:pt idx="394">
                  <c:v>-394.59923333333336</c:v>
                </c:pt>
                <c:pt idx="395">
                  <c:v>-446.07701111111106</c:v>
                </c:pt>
                <c:pt idx="396">
                  <c:v>-450.26844444444453</c:v>
                </c:pt>
                <c:pt idx="397">
                  <c:v>-458.66844444444462</c:v>
                </c:pt>
                <c:pt idx="398">
                  <c:v>-433.82399999999996</c:v>
                </c:pt>
                <c:pt idx="399">
                  <c:v>-428.72400000000016</c:v>
                </c:pt>
                <c:pt idx="400">
                  <c:v>-410.55733333333336</c:v>
                </c:pt>
                <c:pt idx="401">
                  <c:v>-431.61288888888902</c:v>
                </c:pt>
                <c:pt idx="402">
                  <c:v>-459.49066666666693</c:v>
                </c:pt>
                <c:pt idx="403">
                  <c:v>-498.05733333333342</c:v>
                </c:pt>
                <c:pt idx="404">
                  <c:v>-484.33511111111108</c:v>
                </c:pt>
                <c:pt idx="405">
                  <c:v>-460.92654444444463</c:v>
                </c:pt>
                <c:pt idx="406">
                  <c:v>-496.82654444444449</c:v>
                </c:pt>
                <c:pt idx="407">
                  <c:v>-500.28210000000001</c:v>
                </c:pt>
                <c:pt idx="408">
                  <c:v>-498.18210000000022</c:v>
                </c:pt>
                <c:pt idx="409">
                  <c:v>-554.31543333333343</c:v>
                </c:pt>
                <c:pt idx="410">
                  <c:v>-572.57098888888891</c:v>
                </c:pt>
                <c:pt idx="411">
                  <c:v>-474.24876666666694</c:v>
                </c:pt>
                <c:pt idx="412">
                  <c:v>-429.31543333333343</c:v>
                </c:pt>
                <c:pt idx="413">
                  <c:v>-434.79321111111113</c:v>
                </c:pt>
                <c:pt idx="414">
                  <c:v>-437.68464444444464</c:v>
                </c:pt>
                <c:pt idx="415">
                  <c:v>-511.08464444444451</c:v>
                </c:pt>
                <c:pt idx="416">
                  <c:v>-470.94020000000012</c:v>
                </c:pt>
                <c:pt idx="417">
                  <c:v>-449.54020000000014</c:v>
                </c:pt>
                <c:pt idx="418">
                  <c:v>-359.77353333333366</c:v>
                </c:pt>
                <c:pt idx="419">
                  <c:v>-432.32908888888886</c:v>
                </c:pt>
                <c:pt idx="420">
                  <c:v>-409.40686666666704</c:v>
                </c:pt>
                <c:pt idx="421">
                  <c:v>-384.27353333333326</c:v>
                </c:pt>
                <c:pt idx="422">
                  <c:v>-390.95131111111101</c:v>
                </c:pt>
                <c:pt idx="423">
                  <c:v>-414.74274444444438</c:v>
                </c:pt>
                <c:pt idx="424">
                  <c:v>-448.24274444444438</c:v>
                </c:pt>
                <c:pt idx="425">
                  <c:v>-435.29830000000027</c:v>
                </c:pt>
                <c:pt idx="426">
                  <c:v>-430.89830000000006</c:v>
                </c:pt>
                <c:pt idx="427">
                  <c:v>-449.63163333333358</c:v>
                </c:pt>
                <c:pt idx="428">
                  <c:v>-459.38718888888906</c:v>
                </c:pt>
                <c:pt idx="429">
                  <c:v>-420.46496666666678</c:v>
                </c:pt>
                <c:pt idx="430">
                  <c:v>-443.73163333333355</c:v>
                </c:pt>
                <c:pt idx="431">
                  <c:v>-468.10941111111111</c:v>
                </c:pt>
                <c:pt idx="432">
                  <c:v>-446.5008444444444</c:v>
                </c:pt>
                <c:pt idx="433">
                  <c:v>-411.30084444444458</c:v>
                </c:pt>
                <c:pt idx="434">
                  <c:v>-327.95639999999992</c:v>
                </c:pt>
                <c:pt idx="435">
                  <c:v>-348.45640000000026</c:v>
                </c:pt>
                <c:pt idx="436">
                  <c:v>-345.8897333333336</c:v>
                </c:pt>
                <c:pt idx="437">
                  <c:v>-266.34528888888889</c:v>
                </c:pt>
                <c:pt idx="438">
                  <c:v>-156.52306666666695</c:v>
                </c:pt>
                <c:pt idx="439">
                  <c:v>-135.28973333333329</c:v>
                </c:pt>
                <c:pt idx="440">
                  <c:v>-105.16751111111131</c:v>
                </c:pt>
                <c:pt idx="441">
                  <c:v>-175.75894444444441</c:v>
                </c:pt>
                <c:pt idx="442">
                  <c:v>-225.95894444444471</c:v>
                </c:pt>
                <c:pt idx="443">
                  <c:v>-165.81450000000032</c:v>
                </c:pt>
                <c:pt idx="444">
                  <c:v>-120.41450000000009</c:v>
                </c:pt>
                <c:pt idx="445">
                  <c:v>-199.84783333333343</c:v>
                </c:pt>
                <c:pt idx="446">
                  <c:v>-185.50338888888899</c:v>
                </c:pt>
                <c:pt idx="447">
                  <c:v>-204.78116666666696</c:v>
                </c:pt>
                <c:pt idx="448">
                  <c:v>-188.94783333333339</c:v>
                </c:pt>
                <c:pt idx="449">
                  <c:v>-216.62561111111114</c:v>
                </c:pt>
                <c:pt idx="450">
                  <c:v>-211.8170444444446</c:v>
                </c:pt>
                <c:pt idx="451">
                  <c:v>-164.71704444444472</c:v>
                </c:pt>
                <c:pt idx="452">
                  <c:v>-148.27260000000015</c:v>
                </c:pt>
                <c:pt idx="453">
                  <c:v>-167.07260000000019</c:v>
                </c:pt>
                <c:pt idx="454">
                  <c:v>-181.50593333333353</c:v>
                </c:pt>
                <c:pt idx="455">
                  <c:v>-113.46148888888882</c:v>
                </c:pt>
                <c:pt idx="456">
                  <c:v>-108.23926666666679</c:v>
                </c:pt>
                <c:pt idx="457">
                  <c:v>-52.305933333333314</c:v>
                </c:pt>
                <c:pt idx="458">
                  <c:v>-53.483711111111063</c:v>
                </c:pt>
                <c:pt idx="459">
                  <c:v>-75.975144444444709</c:v>
                </c:pt>
                <c:pt idx="460">
                  <c:v>-101.87514444444483</c:v>
                </c:pt>
                <c:pt idx="461">
                  <c:v>-22.930700000000257</c:v>
                </c:pt>
                <c:pt idx="462">
                  <c:v>15.269299999999703</c:v>
                </c:pt>
                <c:pt idx="463">
                  <c:v>52.835966666666366</c:v>
                </c:pt>
                <c:pt idx="464">
                  <c:v>55.280411111111164</c:v>
                </c:pt>
                <c:pt idx="465">
                  <c:v>65.402633333333284</c:v>
                </c:pt>
                <c:pt idx="466">
                  <c:v>110.63596666666649</c:v>
                </c:pt>
                <c:pt idx="467">
                  <c:v>113.15818888888856</c:v>
                </c:pt>
                <c:pt idx="468">
                  <c:v>116.36675555555519</c:v>
                </c:pt>
                <c:pt idx="469">
                  <c:v>62.866755555555159</c:v>
                </c:pt>
                <c:pt idx="470">
                  <c:v>-69.188800000000271</c:v>
                </c:pt>
                <c:pt idx="471">
                  <c:v>76.311199999999872</c:v>
                </c:pt>
                <c:pt idx="472">
                  <c:v>36.477866666666444</c:v>
                </c:pt>
                <c:pt idx="473">
                  <c:v>17.822311111110878</c:v>
                </c:pt>
                <c:pt idx="474">
                  <c:v>22.24453333333318</c:v>
                </c:pt>
                <c:pt idx="475">
                  <c:v>-16.122133333333522</c:v>
                </c:pt>
                <c:pt idx="476">
                  <c:v>-39.89991111111118</c:v>
                </c:pt>
                <c:pt idx="477">
                  <c:v>-7.391344444444826</c:v>
                </c:pt>
                <c:pt idx="478">
                  <c:v>55.908655555555328</c:v>
                </c:pt>
                <c:pt idx="479">
                  <c:v>81.053099999999716</c:v>
                </c:pt>
                <c:pt idx="480">
                  <c:v>114.85309999999959</c:v>
                </c:pt>
                <c:pt idx="481">
                  <c:v>161.21976666666643</c:v>
                </c:pt>
                <c:pt idx="482">
                  <c:v>216.56421111111086</c:v>
                </c:pt>
                <c:pt idx="483">
                  <c:v>219.48643333333317</c:v>
                </c:pt>
                <c:pt idx="484">
                  <c:v>262.61976666666646</c:v>
                </c:pt>
                <c:pt idx="485">
                  <c:v>160.94198888888872</c:v>
                </c:pt>
                <c:pt idx="486">
                  <c:v>251.55055555555543</c:v>
                </c:pt>
                <c:pt idx="487">
                  <c:v>311.75055555555525</c:v>
                </c:pt>
                <c:pt idx="488">
                  <c:v>324.69499999999982</c:v>
                </c:pt>
                <c:pt idx="489">
                  <c:v>407.19499999999994</c:v>
                </c:pt>
                <c:pt idx="490">
                  <c:v>332.36166666666651</c:v>
                </c:pt>
                <c:pt idx="491">
                  <c:v>529.70611111111089</c:v>
                </c:pt>
                <c:pt idx="492">
                  <c:v>614.62833333333322</c:v>
                </c:pt>
                <c:pt idx="493">
                  <c:v>576.36166666666645</c:v>
                </c:pt>
                <c:pt idx="494">
                  <c:v>554.88388888888858</c:v>
                </c:pt>
                <c:pt idx="495">
                  <c:v>636.69245555555551</c:v>
                </c:pt>
                <c:pt idx="496">
                  <c:v>468.09245555555515</c:v>
                </c:pt>
                <c:pt idx="497">
                  <c:v>640.23689999999999</c:v>
                </c:pt>
                <c:pt idx="498">
                  <c:v>579.03689999999983</c:v>
                </c:pt>
                <c:pt idx="499">
                  <c:v>599.80356666666626</c:v>
                </c:pt>
                <c:pt idx="500">
                  <c:v>708.54801111111078</c:v>
                </c:pt>
                <c:pt idx="501">
                  <c:v>643.47023333333311</c:v>
                </c:pt>
                <c:pt idx="502">
                  <c:v>551.20356666666635</c:v>
                </c:pt>
                <c:pt idx="503">
                  <c:v>652.72578888888893</c:v>
                </c:pt>
                <c:pt idx="504">
                  <c:v>656.63435555555532</c:v>
                </c:pt>
                <c:pt idx="505">
                  <c:v>639.53435555555541</c:v>
                </c:pt>
                <c:pt idx="506">
                  <c:v>611.27879999999971</c:v>
                </c:pt>
                <c:pt idx="507">
                  <c:v>634.17879999999991</c:v>
                </c:pt>
                <c:pt idx="508">
                  <c:v>729.74546666666652</c:v>
                </c:pt>
                <c:pt idx="509">
                  <c:v>611.08991111111095</c:v>
                </c:pt>
                <c:pt idx="510">
                  <c:v>648.61213333333319</c:v>
                </c:pt>
                <c:pt idx="511">
                  <c:v>750.44546666666633</c:v>
                </c:pt>
              </c:numCache>
            </c:numRef>
          </c:xVal>
          <c:yVal>
            <c:numRef>
              <c:f>'Gold Futures Historical Data'!$O$2:$O$514</c:f>
              <c:numCache>
                <c:formatCode>General</c:formatCode>
                <c:ptCount val="513"/>
                <c:pt idx="1">
                  <c:v>-46.412044444444405</c:v>
                </c:pt>
                <c:pt idx="2">
                  <c:v>-47.012044444444342</c:v>
                </c:pt>
                <c:pt idx="3">
                  <c:v>-69.667599999999908</c:v>
                </c:pt>
                <c:pt idx="4">
                  <c:v>-29.267599999999902</c:v>
                </c:pt>
                <c:pt idx="5">
                  <c:v>-32.400933333333285</c:v>
                </c:pt>
                <c:pt idx="6">
                  <c:v>-24.05648888888885</c:v>
                </c:pt>
                <c:pt idx="7">
                  <c:v>-2.3342666666665934</c:v>
                </c:pt>
                <c:pt idx="8">
                  <c:v>30.499066666666749</c:v>
                </c:pt>
                <c:pt idx="9">
                  <c:v>102.52128888888905</c:v>
                </c:pt>
                <c:pt idx="10">
                  <c:v>90.129855555555537</c:v>
                </c:pt>
                <c:pt idx="11">
                  <c:v>68.229855555555645</c:v>
                </c:pt>
                <c:pt idx="12">
                  <c:v>111.57430000000008</c:v>
                </c:pt>
                <c:pt idx="13">
                  <c:v>102.97430000000008</c:v>
                </c:pt>
                <c:pt idx="14">
                  <c:v>101.94096666666661</c:v>
                </c:pt>
                <c:pt idx="15">
                  <c:v>71.985411111111091</c:v>
                </c:pt>
                <c:pt idx="16">
                  <c:v>75.507633333333303</c:v>
                </c:pt>
                <c:pt idx="17">
                  <c:v>87.340966666666645</c:v>
                </c:pt>
                <c:pt idx="18">
                  <c:v>68.463188888888851</c:v>
                </c:pt>
                <c:pt idx="19">
                  <c:v>60.071755555555569</c:v>
                </c:pt>
                <c:pt idx="20">
                  <c:v>109.07175555555554</c:v>
                </c:pt>
                <c:pt idx="21">
                  <c:v>105.61620000000002</c:v>
                </c:pt>
                <c:pt idx="22">
                  <c:v>87.016200000000026</c:v>
                </c:pt>
                <c:pt idx="23">
                  <c:v>71.282866666666735</c:v>
                </c:pt>
                <c:pt idx="24">
                  <c:v>37.827311111111214</c:v>
                </c:pt>
                <c:pt idx="25">
                  <c:v>65.64953333333338</c:v>
                </c:pt>
                <c:pt idx="26">
                  <c:v>90.182866666666769</c:v>
                </c:pt>
                <c:pt idx="27">
                  <c:v>99.405088888888884</c:v>
                </c:pt>
                <c:pt idx="28">
                  <c:v>123.21365555555565</c:v>
                </c:pt>
                <c:pt idx="29">
                  <c:v>128.31365555555553</c:v>
                </c:pt>
                <c:pt idx="30">
                  <c:v>140.7581000000001</c:v>
                </c:pt>
                <c:pt idx="31">
                  <c:v>112.45810000000006</c:v>
                </c:pt>
                <c:pt idx="32">
                  <c:v>112.52476666666672</c:v>
                </c:pt>
                <c:pt idx="33">
                  <c:v>149.36921111111116</c:v>
                </c:pt>
                <c:pt idx="34">
                  <c:v>137.89143333333337</c:v>
                </c:pt>
                <c:pt idx="35">
                  <c:v>128.22476666666671</c:v>
                </c:pt>
                <c:pt idx="36">
                  <c:v>121.54698888888896</c:v>
                </c:pt>
                <c:pt idx="37">
                  <c:v>97.455555555555634</c:v>
                </c:pt>
                <c:pt idx="38">
                  <c:v>86.75555555555556</c:v>
                </c:pt>
                <c:pt idx="39">
                  <c:v>87.6</c:v>
                </c:pt>
                <c:pt idx="40">
                  <c:v>66</c:v>
                </c:pt>
                <c:pt idx="41">
                  <c:v>101.56666666666666</c:v>
                </c:pt>
                <c:pt idx="42">
                  <c:v>79.711111111111052</c:v>
                </c:pt>
                <c:pt idx="43">
                  <c:v>16.133333333333354</c:v>
                </c:pt>
                <c:pt idx="44">
                  <c:v>11.266666666666652</c:v>
                </c:pt>
                <c:pt idx="45">
                  <c:v>13.788888888888948</c:v>
                </c:pt>
                <c:pt idx="46">
                  <c:v>19.097455555555484</c:v>
                </c:pt>
                <c:pt idx="47">
                  <c:v>35.297455555555501</c:v>
                </c:pt>
                <c:pt idx="48">
                  <c:v>-51.858100000000064</c:v>
                </c:pt>
                <c:pt idx="49">
                  <c:v>-64.758100000000013</c:v>
                </c:pt>
                <c:pt idx="50">
                  <c:v>-90.991433333333305</c:v>
                </c:pt>
                <c:pt idx="51">
                  <c:v>-88.846988888888916</c:v>
                </c:pt>
                <c:pt idx="52">
                  <c:v>-103.12476666666666</c:v>
                </c:pt>
                <c:pt idx="53">
                  <c:v>-136.09143333333327</c:v>
                </c:pt>
                <c:pt idx="54">
                  <c:v>-149.5692111111112</c:v>
                </c:pt>
                <c:pt idx="55">
                  <c:v>-135.26064444444444</c:v>
                </c:pt>
                <c:pt idx="56">
                  <c:v>-125.06064444444442</c:v>
                </c:pt>
                <c:pt idx="57">
                  <c:v>-109.21619999999999</c:v>
                </c:pt>
                <c:pt idx="58">
                  <c:v>-97.816199999999981</c:v>
                </c:pt>
                <c:pt idx="59">
                  <c:v>-110.24953333333332</c:v>
                </c:pt>
                <c:pt idx="60">
                  <c:v>-75.105088888888929</c:v>
                </c:pt>
                <c:pt idx="61">
                  <c:v>-58.382866666666672</c:v>
                </c:pt>
                <c:pt idx="62">
                  <c:v>-63.649533333333466</c:v>
                </c:pt>
                <c:pt idx="63">
                  <c:v>-54.127311111111169</c:v>
                </c:pt>
                <c:pt idx="64">
                  <c:v>-89.718744444444496</c:v>
                </c:pt>
                <c:pt idx="65">
                  <c:v>-126.31874444444443</c:v>
                </c:pt>
                <c:pt idx="66">
                  <c:v>-104.4743</c:v>
                </c:pt>
                <c:pt idx="67">
                  <c:v>-83.474300000000085</c:v>
                </c:pt>
                <c:pt idx="68">
                  <c:v>-76.707633333333376</c:v>
                </c:pt>
                <c:pt idx="69">
                  <c:v>-67.863188888888942</c:v>
                </c:pt>
                <c:pt idx="70">
                  <c:v>-35.040966666666776</c:v>
                </c:pt>
                <c:pt idx="71">
                  <c:v>-42.907633333333479</c:v>
                </c:pt>
                <c:pt idx="72">
                  <c:v>-73.385411111111182</c:v>
                </c:pt>
                <c:pt idx="73">
                  <c:v>-118.57684444444442</c:v>
                </c:pt>
                <c:pt idx="74">
                  <c:v>-129.27684444444449</c:v>
                </c:pt>
                <c:pt idx="75">
                  <c:v>-110.33240000000015</c:v>
                </c:pt>
                <c:pt idx="76">
                  <c:v>-93.132400000000189</c:v>
                </c:pt>
                <c:pt idx="77">
                  <c:v>-76.96573333333339</c:v>
                </c:pt>
                <c:pt idx="78">
                  <c:v>-83.021288888888819</c:v>
                </c:pt>
                <c:pt idx="79">
                  <c:v>-96.299066666666789</c:v>
                </c:pt>
                <c:pt idx="80">
                  <c:v>-104.86573333333331</c:v>
                </c:pt>
                <c:pt idx="81">
                  <c:v>-128.6435111111112</c:v>
                </c:pt>
                <c:pt idx="82">
                  <c:v>-165.03494444444448</c:v>
                </c:pt>
                <c:pt idx="83">
                  <c:v>-158.73494444444455</c:v>
                </c:pt>
                <c:pt idx="84">
                  <c:v>-138.29049999999998</c:v>
                </c:pt>
                <c:pt idx="85">
                  <c:v>-115.19050000000016</c:v>
                </c:pt>
                <c:pt idx="86">
                  <c:v>-121.82383333333354</c:v>
                </c:pt>
                <c:pt idx="87">
                  <c:v>-89.679388888888923</c:v>
                </c:pt>
                <c:pt idx="88">
                  <c:v>-90.457166666666893</c:v>
                </c:pt>
                <c:pt idx="89">
                  <c:v>-92.623833333333323</c:v>
                </c:pt>
                <c:pt idx="90">
                  <c:v>-69.801611111111072</c:v>
                </c:pt>
                <c:pt idx="91">
                  <c:v>-52.79304444444449</c:v>
                </c:pt>
                <c:pt idx="92">
                  <c:v>-90.293044444444519</c:v>
                </c:pt>
                <c:pt idx="93">
                  <c:v>-124.94860000000008</c:v>
                </c:pt>
                <c:pt idx="94">
                  <c:v>-134.94860000000017</c:v>
                </c:pt>
                <c:pt idx="95">
                  <c:v>-140.78193333333337</c:v>
                </c:pt>
                <c:pt idx="96">
                  <c:v>-108.33748888888903</c:v>
                </c:pt>
                <c:pt idx="97">
                  <c:v>-130.81526666666682</c:v>
                </c:pt>
                <c:pt idx="98">
                  <c:v>-147.98193333333347</c:v>
                </c:pt>
                <c:pt idx="99">
                  <c:v>-160.25971111111113</c:v>
                </c:pt>
                <c:pt idx="100">
                  <c:v>-159.0511444444445</c:v>
                </c:pt>
                <c:pt idx="101">
                  <c:v>-148.25114444444458</c:v>
                </c:pt>
                <c:pt idx="102">
                  <c:v>-164.40670000000014</c:v>
                </c:pt>
                <c:pt idx="103">
                  <c:v>-166.70670000000018</c:v>
                </c:pt>
                <c:pt idx="104">
                  <c:v>-196.54003333333338</c:v>
                </c:pt>
                <c:pt idx="105">
                  <c:v>-184.69558888888895</c:v>
                </c:pt>
                <c:pt idx="106">
                  <c:v>-161.77336666666687</c:v>
                </c:pt>
                <c:pt idx="107">
                  <c:v>-139.74003333333326</c:v>
                </c:pt>
                <c:pt idx="108">
                  <c:v>-136.41781111111101</c:v>
                </c:pt>
                <c:pt idx="109">
                  <c:v>-127.60924444444424</c:v>
                </c:pt>
                <c:pt idx="110">
                  <c:v>-140.90924444444445</c:v>
                </c:pt>
                <c:pt idx="111">
                  <c:v>-128.86479999999997</c:v>
                </c:pt>
                <c:pt idx="112">
                  <c:v>-140.96479999999997</c:v>
                </c:pt>
                <c:pt idx="113">
                  <c:v>-158.49813333333321</c:v>
                </c:pt>
                <c:pt idx="114">
                  <c:v>-115.25368888888869</c:v>
                </c:pt>
                <c:pt idx="115">
                  <c:v>-139.53146666666666</c:v>
                </c:pt>
                <c:pt idx="116">
                  <c:v>-154.89813333333313</c:v>
                </c:pt>
                <c:pt idx="117">
                  <c:v>-163.97591111111097</c:v>
                </c:pt>
                <c:pt idx="118">
                  <c:v>-179.46734444444439</c:v>
                </c:pt>
                <c:pt idx="119">
                  <c:v>-153.36734444444429</c:v>
                </c:pt>
                <c:pt idx="120">
                  <c:v>-182.92289999999994</c:v>
                </c:pt>
                <c:pt idx="121">
                  <c:v>-171.42290000000003</c:v>
                </c:pt>
                <c:pt idx="122">
                  <c:v>-155.55623333333318</c:v>
                </c:pt>
                <c:pt idx="123">
                  <c:v>-162.41178888888879</c:v>
                </c:pt>
                <c:pt idx="124">
                  <c:v>-175.68956666666654</c:v>
                </c:pt>
                <c:pt idx="125">
                  <c:v>-192.85623333333319</c:v>
                </c:pt>
                <c:pt idx="126">
                  <c:v>-196.53401111111094</c:v>
                </c:pt>
                <c:pt idx="127">
                  <c:v>-229.72544444444441</c:v>
                </c:pt>
                <c:pt idx="128">
                  <c:v>-228.82544444444434</c:v>
                </c:pt>
                <c:pt idx="129">
                  <c:v>-240.18099999999995</c:v>
                </c:pt>
                <c:pt idx="130">
                  <c:v>-234.0809999999999</c:v>
                </c:pt>
                <c:pt idx="131">
                  <c:v>-254.21433333333329</c:v>
                </c:pt>
                <c:pt idx="132">
                  <c:v>-259.26988888888872</c:v>
                </c:pt>
                <c:pt idx="133">
                  <c:v>-273.84766666666667</c:v>
                </c:pt>
                <c:pt idx="134">
                  <c:v>-281.0143333333333</c:v>
                </c:pt>
                <c:pt idx="135">
                  <c:v>-305.29211111111096</c:v>
                </c:pt>
                <c:pt idx="136">
                  <c:v>-319.18354444444446</c:v>
                </c:pt>
                <c:pt idx="137">
                  <c:v>-338.78354444444437</c:v>
                </c:pt>
                <c:pt idx="138">
                  <c:v>-345.53909999999985</c:v>
                </c:pt>
                <c:pt idx="139">
                  <c:v>-347.03909999999996</c:v>
                </c:pt>
                <c:pt idx="140">
                  <c:v>-377.77243333333325</c:v>
                </c:pt>
                <c:pt idx="141">
                  <c:v>-345.92798888888882</c:v>
                </c:pt>
                <c:pt idx="142">
                  <c:v>-350.90576666666664</c:v>
                </c:pt>
                <c:pt idx="143">
                  <c:v>-365.67243333333317</c:v>
                </c:pt>
                <c:pt idx="144">
                  <c:v>-374.6502111111111</c:v>
                </c:pt>
                <c:pt idx="145">
                  <c:v>-378.24164444444443</c:v>
                </c:pt>
                <c:pt idx="146">
                  <c:v>-394.84164444444434</c:v>
                </c:pt>
                <c:pt idx="147">
                  <c:v>-392.3972</c:v>
                </c:pt>
                <c:pt idx="148">
                  <c:v>-373.29719999999998</c:v>
                </c:pt>
                <c:pt idx="149">
                  <c:v>-362.53053333333327</c:v>
                </c:pt>
                <c:pt idx="150">
                  <c:v>-352.68608888888883</c:v>
                </c:pt>
                <c:pt idx="151">
                  <c:v>-353.56386666666674</c:v>
                </c:pt>
                <c:pt idx="152">
                  <c:v>-386.73053333333337</c:v>
                </c:pt>
                <c:pt idx="153">
                  <c:v>-382.00831111111103</c:v>
                </c:pt>
                <c:pt idx="154">
                  <c:v>-385.59974444444435</c:v>
                </c:pt>
                <c:pt idx="155">
                  <c:v>-394.2997444444444</c:v>
                </c:pt>
                <c:pt idx="156">
                  <c:v>-374.65530000000001</c:v>
                </c:pt>
                <c:pt idx="157">
                  <c:v>-383.1552999999999</c:v>
                </c:pt>
                <c:pt idx="158">
                  <c:v>-362.38863333333342</c:v>
                </c:pt>
                <c:pt idx="159">
                  <c:v>-334.7441888888888</c:v>
                </c:pt>
                <c:pt idx="160">
                  <c:v>-330.32196666666675</c:v>
                </c:pt>
                <c:pt idx="161">
                  <c:v>-335.08863333333329</c:v>
                </c:pt>
                <c:pt idx="162">
                  <c:v>-351.66641111111113</c:v>
                </c:pt>
                <c:pt idx="163">
                  <c:v>-339.9578444444445</c:v>
                </c:pt>
                <c:pt idx="164">
                  <c:v>-327.4578444444445</c:v>
                </c:pt>
                <c:pt idx="165">
                  <c:v>-338.01339999999993</c:v>
                </c:pt>
                <c:pt idx="166">
                  <c:v>-331.71340000000009</c:v>
                </c:pt>
                <c:pt idx="167">
                  <c:v>-316.94673333333338</c:v>
                </c:pt>
                <c:pt idx="168">
                  <c:v>-347.80228888888877</c:v>
                </c:pt>
                <c:pt idx="169">
                  <c:v>-346.08006666666677</c:v>
                </c:pt>
                <c:pt idx="170">
                  <c:v>-350.94673333333321</c:v>
                </c:pt>
                <c:pt idx="171">
                  <c:v>-351.2245111111111</c:v>
                </c:pt>
                <c:pt idx="172">
                  <c:v>-362.81594444444443</c:v>
                </c:pt>
                <c:pt idx="173">
                  <c:v>-377.11594444444438</c:v>
                </c:pt>
                <c:pt idx="174">
                  <c:v>-384.5714999999999</c:v>
                </c:pt>
                <c:pt idx="175">
                  <c:v>-401.07150000000001</c:v>
                </c:pt>
                <c:pt idx="176">
                  <c:v>-384.2048333333334</c:v>
                </c:pt>
                <c:pt idx="177">
                  <c:v>-389.06038888888878</c:v>
                </c:pt>
                <c:pt idx="178">
                  <c:v>-381.33816666666678</c:v>
                </c:pt>
                <c:pt idx="179">
                  <c:v>-401.70483333333323</c:v>
                </c:pt>
                <c:pt idx="180">
                  <c:v>-403.58261111111102</c:v>
                </c:pt>
                <c:pt idx="181">
                  <c:v>-379.67404444444435</c:v>
                </c:pt>
                <c:pt idx="182">
                  <c:v>-356.27404444444448</c:v>
                </c:pt>
                <c:pt idx="183">
                  <c:v>-364.62959999999987</c:v>
                </c:pt>
                <c:pt idx="184">
                  <c:v>-306.42959999999994</c:v>
                </c:pt>
                <c:pt idx="185">
                  <c:v>-288.66293333333346</c:v>
                </c:pt>
                <c:pt idx="186">
                  <c:v>-299.21848888888888</c:v>
                </c:pt>
                <c:pt idx="187">
                  <c:v>-285.39626666666675</c:v>
                </c:pt>
                <c:pt idx="188">
                  <c:v>-279.16293333333329</c:v>
                </c:pt>
                <c:pt idx="189">
                  <c:v>-296.14071111111099</c:v>
                </c:pt>
                <c:pt idx="190">
                  <c:v>-268.33214444444445</c:v>
                </c:pt>
                <c:pt idx="191">
                  <c:v>-228.83214444444448</c:v>
                </c:pt>
                <c:pt idx="192">
                  <c:v>-220.68770000000009</c:v>
                </c:pt>
                <c:pt idx="193">
                  <c:v>-203.98770000000013</c:v>
                </c:pt>
                <c:pt idx="194">
                  <c:v>-208.12103333333329</c:v>
                </c:pt>
                <c:pt idx="195">
                  <c:v>-219.27658888888885</c:v>
                </c:pt>
                <c:pt idx="196">
                  <c:v>-233.65436666666673</c:v>
                </c:pt>
                <c:pt idx="197">
                  <c:v>-226.52103333333343</c:v>
                </c:pt>
                <c:pt idx="198">
                  <c:v>-238.19881111111118</c:v>
                </c:pt>
                <c:pt idx="199">
                  <c:v>-235.39024444444442</c:v>
                </c:pt>
                <c:pt idx="200">
                  <c:v>-271.09024444444447</c:v>
                </c:pt>
                <c:pt idx="201">
                  <c:v>-272.54579999999999</c:v>
                </c:pt>
                <c:pt idx="202">
                  <c:v>-258.5458000000001</c:v>
                </c:pt>
                <c:pt idx="203">
                  <c:v>-248.27913333333339</c:v>
                </c:pt>
                <c:pt idx="204">
                  <c:v>-294.23468888888891</c:v>
                </c:pt>
                <c:pt idx="205">
                  <c:v>-287.01246666666668</c:v>
                </c:pt>
                <c:pt idx="206">
                  <c:v>-300.37913333333336</c:v>
                </c:pt>
                <c:pt idx="207">
                  <c:v>-302.4569111111112</c:v>
                </c:pt>
                <c:pt idx="208">
                  <c:v>-313.64834444444443</c:v>
                </c:pt>
                <c:pt idx="209">
                  <c:v>-308.94834444444439</c:v>
                </c:pt>
                <c:pt idx="210">
                  <c:v>-316.20390000000009</c:v>
                </c:pt>
                <c:pt idx="211">
                  <c:v>-276.00390000000016</c:v>
                </c:pt>
                <c:pt idx="212">
                  <c:v>-237.33723333333336</c:v>
                </c:pt>
                <c:pt idx="213">
                  <c:v>-226.89278888888879</c:v>
                </c:pt>
                <c:pt idx="214">
                  <c:v>-225.17056666666653</c:v>
                </c:pt>
                <c:pt idx="215">
                  <c:v>-221.9372333333331</c:v>
                </c:pt>
                <c:pt idx="216">
                  <c:v>-216.01501111111094</c:v>
                </c:pt>
                <c:pt idx="217">
                  <c:v>-234.40644444444422</c:v>
                </c:pt>
                <c:pt idx="218">
                  <c:v>-233.2064444444442</c:v>
                </c:pt>
                <c:pt idx="219">
                  <c:v>-177.4619999999999</c:v>
                </c:pt>
                <c:pt idx="220">
                  <c:v>-257.5619999999999</c:v>
                </c:pt>
                <c:pt idx="221">
                  <c:v>-149.19533333333328</c:v>
                </c:pt>
                <c:pt idx="222">
                  <c:v>-303.05088888888866</c:v>
                </c:pt>
                <c:pt idx="223">
                  <c:v>-332.82866666666666</c:v>
                </c:pt>
                <c:pt idx="224">
                  <c:v>-175.29533333333325</c:v>
                </c:pt>
                <c:pt idx="225">
                  <c:v>-193.5731111111109</c:v>
                </c:pt>
                <c:pt idx="226">
                  <c:v>-90.764544444444368</c:v>
                </c:pt>
                <c:pt idx="227">
                  <c:v>-154.2645444444444</c:v>
                </c:pt>
                <c:pt idx="228">
                  <c:v>-121.62009999999978</c:v>
                </c:pt>
                <c:pt idx="229">
                  <c:v>-151.42009999999982</c:v>
                </c:pt>
                <c:pt idx="230">
                  <c:v>-127.95343333333329</c:v>
                </c:pt>
                <c:pt idx="231">
                  <c:v>-83.808988888888678</c:v>
                </c:pt>
                <c:pt idx="232">
                  <c:v>-96.686766666666557</c:v>
                </c:pt>
                <c:pt idx="233">
                  <c:v>-97.953433333333123</c:v>
                </c:pt>
                <c:pt idx="234">
                  <c:v>-174.23121111111101</c:v>
                </c:pt>
                <c:pt idx="235">
                  <c:v>-125.92264444444424</c:v>
                </c:pt>
                <c:pt idx="236">
                  <c:v>-122.62264444444432</c:v>
                </c:pt>
                <c:pt idx="237">
                  <c:v>-100.77819999999988</c:v>
                </c:pt>
                <c:pt idx="238">
                  <c:v>-86.878199999999879</c:v>
                </c:pt>
                <c:pt idx="239">
                  <c:v>-81.911533333333125</c:v>
                </c:pt>
                <c:pt idx="240">
                  <c:v>-65.467088888888782</c:v>
                </c:pt>
                <c:pt idx="241">
                  <c:v>-58.544866666666479</c:v>
                </c:pt>
                <c:pt idx="242">
                  <c:v>22.188466666666727</c:v>
                </c:pt>
                <c:pt idx="243">
                  <c:v>88.31068888888916</c:v>
                </c:pt>
                <c:pt idx="244">
                  <c:v>126.6192555555557</c:v>
                </c:pt>
                <c:pt idx="245">
                  <c:v>36.919255555555623</c:v>
                </c:pt>
                <c:pt idx="246">
                  <c:v>27.163700000000148</c:v>
                </c:pt>
                <c:pt idx="247">
                  <c:v>57.763700000000199</c:v>
                </c:pt>
                <c:pt idx="248">
                  <c:v>21.230366666666725</c:v>
                </c:pt>
                <c:pt idx="249">
                  <c:v>37.574811111111387</c:v>
                </c:pt>
                <c:pt idx="250">
                  <c:v>53.397033333333326</c:v>
                </c:pt>
                <c:pt idx="251">
                  <c:v>-50.86963333333324</c:v>
                </c:pt>
                <c:pt idx="252">
                  <c:v>-12.147411111110898</c:v>
                </c:pt>
                <c:pt idx="253">
                  <c:v>2.9611555555555924</c:v>
                </c:pt>
                <c:pt idx="254">
                  <c:v>-28.138844444444345</c:v>
                </c:pt>
                <c:pt idx="255">
                  <c:v>-36.39439999999982</c:v>
                </c:pt>
                <c:pt idx="256">
                  <c:v>-59.19439999999986</c:v>
                </c:pt>
                <c:pt idx="257">
                  <c:v>16.772266666666667</c:v>
                </c:pt>
                <c:pt idx="258">
                  <c:v>-46.583288888888717</c:v>
                </c:pt>
                <c:pt idx="259">
                  <c:v>-59.761066666666551</c:v>
                </c:pt>
                <c:pt idx="260">
                  <c:v>-154.3277333333333</c:v>
                </c:pt>
                <c:pt idx="261">
                  <c:v>-112.10551111111096</c:v>
                </c:pt>
                <c:pt idx="262">
                  <c:v>-112.29694444444442</c:v>
                </c:pt>
                <c:pt idx="263">
                  <c:v>-78.396944444444358</c:v>
                </c:pt>
                <c:pt idx="264">
                  <c:v>-90.952499999999787</c:v>
                </c:pt>
                <c:pt idx="265">
                  <c:v>-76.052500000000009</c:v>
                </c:pt>
                <c:pt idx="266">
                  <c:v>-131.88583333333321</c:v>
                </c:pt>
                <c:pt idx="267">
                  <c:v>-135.14138888888868</c:v>
                </c:pt>
                <c:pt idx="268">
                  <c:v>-107.31916666666652</c:v>
                </c:pt>
                <c:pt idx="269">
                  <c:v>-122.98583333333318</c:v>
                </c:pt>
                <c:pt idx="270">
                  <c:v>-169.76361111111106</c:v>
                </c:pt>
                <c:pt idx="271">
                  <c:v>-163.15504444444434</c:v>
                </c:pt>
                <c:pt idx="272">
                  <c:v>-220.35504444444442</c:v>
                </c:pt>
                <c:pt idx="273">
                  <c:v>-276.01059999999995</c:v>
                </c:pt>
                <c:pt idx="274">
                  <c:v>-303.31060000000002</c:v>
                </c:pt>
                <c:pt idx="275">
                  <c:v>-278.44393333333318</c:v>
                </c:pt>
                <c:pt idx="276">
                  <c:v>-254.19948888888865</c:v>
                </c:pt>
                <c:pt idx="277">
                  <c:v>-261.77726666666661</c:v>
                </c:pt>
                <c:pt idx="278">
                  <c:v>-274.64393333333328</c:v>
                </c:pt>
                <c:pt idx="279">
                  <c:v>-267.82171111111103</c:v>
                </c:pt>
                <c:pt idx="280">
                  <c:v>-236.21314444444431</c:v>
                </c:pt>
                <c:pt idx="281">
                  <c:v>-250.01314444444429</c:v>
                </c:pt>
                <c:pt idx="282">
                  <c:v>-267.06869999999992</c:v>
                </c:pt>
                <c:pt idx="283">
                  <c:v>-200.66869999999994</c:v>
                </c:pt>
                <c:pt idx="284">
                  <c:v>-190.10203333333328</c:v>
                </c:pt>
                <c:pt idx="285">
                  <c:v>-148.45758888888867</c:v>
                </c:pt>
                <c:pt idx="286">
                  <c:v>-118.83536666666654</c:v>
                </c:pt>
                <c:pt idx="287">
                  <c:v>-140.40203333333329</c:v>
                </c:pt>
                <c:pt idx="288">
                  <c:v>-162.17981111111095</c:v>
                </c:pt>
                <c:pt idx="289">
                  <c:v>-276.77124444444428</c:v>
                </c:pt>
                <c:pt idx="290">
                  <c:v>-279.37124444444441</c:v>
                </c:pt>
                <c:pt idx="291">
                  <c:v>-280.92679999999984</c:v>
                </c:pt>
                <c:pt idx="292">
                  <c:v>-251.32680000000005</c:v>
                </c:pt>
                <c:pt idx="293">
                  <c:v>-242.66013333333325</c:v>
                </c:pt>
                <c:pt idx="294">
                  <c:v>-253.01568888888886</c:v>
                </c:pt>
                <c:pt idx="295">
                  <c:v>-237.7934666666666</c:v>
                </c:pt>
                <c:pt idx="296">
                  <c:v>-300.36013333333335</c:v>
                </c:pt>
                <c:pt idx="297">
                  <c:v>-294.93791111111096</c:v>
                </c:pt>
                <c:pt idx="298">
                  <c:v>-292.92934444444438</c:v>
                </c:pt>
                <c:pt idx="299">
                  <c:v>-268.92934444444438</c:v>
                </c:pt>
                <c:pt idx="300">
                  <c:v>-261.68489999999986</c:v>
                </c:pt>
                <c:pt idx="301">
                  <c:v>-300.58490000000006</c:v>
                </c:pt>
                <c:pt idx="302">
                  <c:v>-337.21823333333322</c:v>
                </c:pt>
                <c:pt idx="303">
                  <c:v>-334.17378888888874</c:v>
                </c:pt>
                <c:pt idx="304">
                  <c:v>-324.15156666666678</c:v>
                </c:pt>
                <c:pt idx="305">
                  <c:v>-333.31823333333318</c:v>
                </c:pt>
                <c:pt idx="306">
                  <c:v>-332.19601111111098</c:v>
                </c:pt>
                <c:pt idx="307">
                  <c:v>-307.88744444444444</c:v>
                </c:pt>
                <c:pt idx="308">
                  <c:v>-331.7874444444443</c:v>
                </c:pt>
                <c:pt idx="309">
                  <c:v>-305.64299999999992</c:v>
                </c:pt>
                <c:pt idx="310">
                  <c:v>-251.14300000000003</c:v>
                </c:pt>
                <c:pt idx="311">
                  <c:v>-263.57633333333337</c:v>
                </c:pt>
                <c:pt idx="312">
                  <c:v>-327.03188888888889</c:v>
                </c:pt>
                <c:pt idx="313">
                  <c:v>-327.70966666666675</c:v>
                </c:pt>
                <c:pt idx="314">
                  <c:v>-334.97633333333329</c:v>
                </c:pt>
                <c:pt idx="315">
                  <c:v>-324.35411111111108</c:v>
                </c:pt>
                <c:pt idx="316">
                  <c:v>-321.44554444444441</c:v>
                </c:pt>
                <c:pt idx="317">
                  <c:v>-315.94554444444441</c:v>
                </c:pt>
                <c:pt idx="318">
                  <c:v>-354.00109999999984</c:v>
                </c:pt>
                <c:pt idx="319">
                  <c:v>-332.2011</c:v>
                </c:pt>
                <c:pt idx="320">
                  <c:v>-313.03443333333342</c:v>
                </c:pt>
                <c:pt idx="321">
                  <c:v>-355.08998888888885</c:v>
                </c:pt>
                <c:pt idx="322">
                  <c:v>-331.96776666666676</c:v>
                </c:pt>
                <c:pt idx="323">
                  <c:v>-305.7344333333333</c:v>
                </c:pt>
                <c:pt idx="324">
                  <c:v>-257.81221111111114</c:v>
                </c:pt>
                <c:pt idx="325">
                  <c:v>-273.90364444444447</c:v>
                </c:pt>
                <c:pt idx="326">
                  <c:v>-206.30364444444436</c:v>
                </c:pt>
                <c:pt idx="327">
                  <c:v>-193.75919999999988</c:v>
                </c:pt>
                <c:pt idx="328">
                  <c:v>-246.55919999999992</c:v>
                </c:pt>
                <c:pt idx="329">
                  <c:v>-216.59253333333339</c:v>
                </c:pt>
                <c:pt idx="330">
                  <c:v>-244.44808888888878</c:v>
                </c:pt>
                <c:pt idx="331">
                  <c:v>-219.82586666666666</c:v>
                </c:pt>
                <c:pt idx="332">
                  <c:v>-198.8925333333334</c:v>
                </c:pt>
                <c:pt idx="333">
                  <c:v>-248.77031111111097</c:v>
                </c:pt>
                <c:pt idx="334">
                  <c:v>-275.36174444444453</c:v>
                </c:pt>
                <c:pt idx="335">
                  <c:v>-315.26174444444439</c:v>
                </c:pt>
                <c:pt idx="336">
                  <c:v>-397.6173</c:v>
                </c:pt>
                <c:pt idx="337">
                  <c:v>-361.31729999999993</c:v>
                </c:pt>
                <c:pt idx="338">
                  <c:v>-340.65063333333336</c:v>
                </c:pt>
                <c:pt idx="339">
                  <c:v>-344.60618888888888</c:v>
                </c:pt>
                <c:pt idx="340">
                  <c:v>-317.38396666666665</c:v>
                </c:pt>
                <c:pt idx="341">
                  <c:v>-360.15063333333342</c:v>
                </c:pt>
                <c:pt idx="342">
                  <c:v>-380.12841111111112</c:v>
                </c:pt>
                <c:pt idx="343">
                  <c:v>-412.81984444444436</c:v>
                </c:pt>
                <c:pt idx="344">
                  <c:v>-483.81984444444436</c:v>
                </c:pt>
                <c:pt idx="345">
                  <c:v>-530.07540000000006</c:v>
                </c:pt>
                <c:pt idx="346">
                  <c:v>-503.97540000000004</c:v>
                </c:pt>
                <c:pt idx="347">
                  <c:v>-453.10873333333342</c:v>
                </c:pt>
                <c:pt idx="348">
                  <c:v>-440.9642888888888</c:v>
                </c:pt>
                <c:pt idx="349">
                  <c:v>-415.04206666666676</c:v>
                </c:pt>
                <c:pt idx="350">
                  <c:v>-476.10873333333325</c:v>
                </c:pt>
                <c:pt idx="351">
                  <c:v>-498.88651111111113</c:v>
                </c:pt>
                <c:pt idx="352">
                  <c:v>-529.87794444444455</c:v>
                </c:pt>
                <c:pt idx="353">
                  <c:v>-535.37794444444455</c:v>
                </c:pt>
                <c:pt idx="354">
                  <c:v>-587.43349999999998</c:v>
                </c:pt>
                <c:pt idx="355">
                  <c:v>-612.63350000000014</c:v>
                </c:pt>
                <c:pt idx="356">
                  <c:v>-579.26683333333335</c:v>
                </c:pt>
                <c:pt idx="357">
                  <c:v>-538.62238888888896</c:v>
                </c:pt>
                <c:pt idx="358">
                  <c:v>-597.00016666666681</c:v>
                </c:pt>
                <c:pt idx="359">
                  <c:v>-598.06683333333331</c:v>
                </c:pt>
                <c:pt idx="360">
                  <c:v>-618.84461111111113</c:v>
                </c:pt>
                <c:pt idx="361">
                  <c:v>-591.13604444444456</c:v>
                </c:pt>
                <c:pt idx="362">
                  <c:v>-509.73604444444447</c:v>
                </c:pt>
                <c:pt idx="363">
                  <c:v>-531.19159999999999</c:v>
                </c:pt>
                <c:pt idx="364">
                  <c:v>-528.69160000000011</c:v>
                </c:pt>
                <c:pt idx="365">
                  <c:v>-468.72493333333335</c:v>
                </c:pt>
                <c:pt idx="366">
                  <c:v>-464.78048888888878</c:v>
                </c:pt>
                <c:pt idx="367">
                  <c:v>-473.45826666666687</c:v>
                </c:pt>
                <c:pt idx="368">
                  <c:v>-477.72493333333341</c:v>
                </c:pt>
                <c:pt idx="369">
                  <c:v>-465.00271111111107</c:v>
                </c:pt>
                <c:pt idx="370">
                  <c:v>-484.79414444444444</c:v>
                </c:pt>
                <c:pt idx="371">
                  <c:v>-436.5941444444444</c:v>
                </c:pt>
                <c:pt idx="372">
                  <c:v>-459.74969999999996</c:v>
                </c:pt>
                <c:pt idx="373">
                  <c:v>-388.24970000000008</c:v>
                </c:pt>
                <c:pt idx="374">
                  <c:v>-377.78303333333332</c:v>
                </c:pt>
                <c:pt idx="375">
                  <c:v>-374.33858888888898</c:v>
                </c:pt>
                <c:pt idx="376">
                  <c:v>-425.01636666666684</c:v>
                </c:pt>
                <c:pt idx="377">
                  <c:v>-435.58303333333333</c:v>
                </c:pt>
                <c:pt idx="378">
                  <c:v>-469.56081111111104</c:v>
                </c:pt>
                <c:pt idx="379">
                  <c:v>-506.35224444444441</c:v>
                </c:pt>
                <c:pt idx="380">
                  <c:v>-480.35224444444441</c:v>
                </c:pt>
                <c:pt idx="381">
                  <c:v>-474.70780000000002</c:v>
                </c:pt>
                <c:pt idx="382">
                  <c:v>-365.80780000000004</c:v>
                </c:pt>
                <c:pt idx="383">
                  <c:v>-350.24113333333338</c:v>
                </c:pt>
                <c:pt idx="384">
                  <c:v>-345.09668888888899</c:v>
                </c:pt>
                <c:pt idx="385">
                  <c:v>-303.17446666666672</c:v>
                </c:pt>
                <c:pt idx="386">
                  <c:v>-321.6411333333333</c:v>
                </c:pt>
                <c:pt idx="387">
                  <c:v>-356.51891111111109</c:v>
                </c:pt>
                <c:pt idx="388">
                  <c:v>-351.21034444444456</c:v>
                </c:pt>
                <c:pt idx="389">
                  <c:v>-336.81034444444447</c:v>
                </c:pt>
                <c:pt idx="390">
                  <c:v>-348.86590000000012</c:v>
                </c:pt>
                <c:pt idx="391">
                  <c:v>-384.96590000000015</c:v>
                </c:pt>
                <c:pt idx="392">
                  <c:v>-418.09923333333353</c:v>
                </c:pt>
                <c:pt idx="393">
                  <c:v>-389.354788888889</c:v>
                </c:pt>
                <c:pt idx="394">
                  <c:v>-380.03256666666687</c:v>
                </c:pt>
                <c:pt idx="395">
                  <c:v>-394.59923333333336</c:v>
                </c:pt>
                <c:pt idx="396">
                  <c:v>-446.07701111111106</c:v>
                </c:pt>
                <c:pt idx="397">
                  <c:v>-450.26844444444453</c:v>
                </c:pt>
                <c:pt idx="398">
                  <c:v>-458.66844444444462</c:v>
                </c:pt>
                <c:pt idx="399">
                  <c:v>-433.82399999999996</c:v>
                </c:pt>
                <c:pt idx="400">
                  <c:v>-428.72400000000016</c:v>
                </c:pt>
                <c:pt idx="401">
                  <c:v>-410.55733333333336</c:v>
                </c:pt>
                <c:pt idx="402">
                  <c:v>-431.61288888888902</c:v>
                </c:pt>
                <c:pt idx="403">
                  <c:v>-459.49066666666693</c:v>
                </c:pt>
                <c:pt idx="404">
                  <c:v>-498.05733333333342</c:v>
                </c:pt>
                <c:pt idx="405">
                  <c:v>-484.33511111111108</c:v>
                </c:pt>
                <c:pt idx="406">
                  <c:v>-460.92654444444463</c:v>
                </c:pt>
                <c:pt idx="407">
                  <c:v>-496.82654444444449</c:v>
                </c:pt>
                <c:pt idx="408">
                  <c:v>-500.28210000000001</c:v>
                </c:pt>
                <c:pt idx="409">
                  <c:v>-498.18210000000022</c:v>
                </c:pt>
                <c:pt idx="410">
                  <c:v>-554.31543333333343</c:v>
                </c:pt>
                <c:pt idx="411">
                  <c:v>-572.57098888888891</c:v>
                </c:pt>
                <c:pt idx="412">
                  <c:v>-474.24876666666694</c:v>
                </c:pt>
                <c:pt idx="413">
                  <c:v>-429.31543333333343</c:v>
                </c:pt>
                <c:pt idx="414">
                  <c:v>-434.79321111111113</c:v>
                </c:pt>
                <c:pt idx="415">
                  <c:v>-437.68464444444464</c:v>
                </c:pt>
                <c:pt idx="416">
                  <c:v>-511.08464444444451</c:v>
                </c:pt>
                <c:pt idx="417">
                  <c:v>-470.94020000000012</c:v>
                </c:pt>
                <c:pt idx="418">
                  <c:v>-449.54020000000014</c:v>
                </c:pt>
                <c:pt idx="419">
                  <c:v>-359.77353333333366</c:v>
                </c:pt>
                <c:pt idx="420">
                  <c:v>-432.32908888888886</c:v>
                </c:pt>
                <c:pt idx="421">
                  <c:v>-409.40686666666704</c:v>
                </c:pt>
                <c:pt idx="422">
                  <c:v>-384.27353333333326</c:v>
                </c:pt>
                <c:pt idx="423">
                  <c:v>-390.95131111111101</c:v>
                </c:pt>
                <c:pt idx="424">
                  <c:v>-414.74274444444438</c:v>
                </c:pt>
                <c:pt idx="425">
                  <c:v>-448.24274444444438</c:v>
                </c:pt>
                <c:pt idx="426">
                  <c:v>-435.29830000000027</c:v>
                </c:pt>
                <c:pt idx="427">
                  <c:v>-430.89830000000006</c:v>
                </c:pt>
                <c:pt idx="428">
                  <c:v>-449.63163333333358</c:v>
                </c:pt>
                <c:pt idx="429">
                  <c:v>-459.38718888888906</c:v>
                </c:pt>
                <c:pt idx="430">
                  <c:v>-420.46496666666678</c:v>
                </c:pt>
                <c:pt idx="431">
                  <c:v>-443.73163333333355</c:v>
                </c:pt>
                <c:pt idx="432">
                  <c:v>-468.10941111111111</c:v>
                </c:pt>
                <c:pt idx="433">
                  <c:v>-446.5008444444444</c:v>
                </c:pt>
                <c:pt idx="434">
                  <c:v>-411.30084444444458</c:v>
                </c:pt>
                <c:pt idx="435">
                  <c:v>-327.95639999999992</c:v>
                </c:pt>
                <c:pt idx="436">
                  <c:v>-348.45640000000026</c:v>
                </c:pt>
                <c:pt idx="437">
                  <c:v>-345.8897333333336</c:v>
                </c:pt>
                <c:pt idx="438">
                  <c:v>-266.34528888888889</c:v>
                </c:pt>
                <c:pt idx="439">
                  <c:v>-156.52306666666695</c:v>
                </c:pt>
                <c:pt idx="440">
                  <c:v>-135.28973333333329</c:v>
                </c:pt>
                <c:pt idx="441">
                  <c:v>-105.16751111111131</c:v>
                </c:pt>
                <c:pt idx="442">
                  <c:v>-175.75894444444441</c:v>
                </c:pt>
                <c:pt idx="443">
                  <c:v>-225.95894444444471</c:v>
                </c:pt>
                <c:pt idx="444">
                  <c:v>-165.81450000000032</c:v>
                </c:pt>
                <c:pt idx="445">
                  <c:v>-120.41450000000009</c:v>
                </c:pt>
                <c:pt idx="446">
                  <c:v>-199.84783333333343</c:v>
                </c:pt>
                <c:pt idx="447">
                  <c:v>-185.50338888888899</c:v>
                </c:pt>
                <c:pt idx="448">
                  <c:v>-204.78116666666696</c:v>
                </c:pt>
                <c:pt idx="449">
                  <c:v>-188.94783333333339</c:v>
                </c:pt>
                <c:pt idx="450">
                  <c:v>-216.62561111111114</c:v>
                </c:pt>
                <c:pt idx="451">
                  <c:v>-211.8170444444446</c:v>
                </c:pt>
                <c:pt idx="452">
                  <c:v>-164.71704444444472</c:v>
                </c:pt>
                <c:pt idx="453">
                  <c:v>-148.27260000000015</c:v>
                </c:pt>
                <c:pt idx="454">
                  <c:v>-167.07260000000019</c:v>
                </c:pt>
                <c:pt idx="455">
                  <c:v>-181.50593333333353</c:v>
                </c:pt>
                <c:pt idx="456">
                  <c:v>-113.46148888888882</c:v>
                </c:pt>
                <c:pt idx="457">
                  <c:v>-108.23926666666679</c:v>
                </c:pt>
                <c:pt idx="458">
                  <c:v>-52.305933333333314</c:v>
                </c:pt>
                <c:pt idx="459">
                  <c:v>-53.483711111111063</c:v>
                </c:pt>
                <c:pt idx="460">
                  <c:v>-75.975144444444709</c:v>
                </c:pt>
                <c:pt idx="461">
                  <c:v>-101.87514444444483</c:v>
                </c:pt>
                <c:pt idx="462">
                  <c:v>-22.930700000000257</c:v>
                </c:pt>
                <c:pt idx="463">
                  <c:v>15.269299999999703</c:v>
                </c:pt>
                <c:pt idx="464">
                  <c:v>52.835966666666366</c:v>
                </c:pt>
                <c:pt idx="465">
                  <c:v>55.280411111111164</c:v>
                </c:pt>
                <c:pt idx="466">
                  <c:v>65.402633333333284</c:v>
                </c:pt>
                <c:pt idx="467">
                  <c:v>110.63596666666649</c:v>
                </c:pt>
                <c:pt idx="468">
                  <c:v>113.15818888888856</c:v>
                </c:pt>
                <c:pt idx="469">
                  <c:v>116.36675555555519</c:v>
                </c:pt>
                <c:pt idx="470">
                  <c:v>62.866755555555159</c:v>
                </c:pt>
                <c:pt idx="471">
                  <c:v>-69.188800000000271</c:v>
                </c:pt>
                <c:pt idx="472">
                  <c:v>76.311199999999872</c:v>
                </c:pt>
                <c:pt idx="473">
                  <c:v>36.477866666666444</c:v>
                </c:pt>
                <c:pt idx="474">
                  <c:v>17.822311111110878</c:v>
                </c:pt>
                <c:pt idx="475">
                  <c:v>22.24453333333318</c:v>
                </c:pt>
                <c:pt idx="476">
                  <c:v>-16.122133333333522</c:v>
                </c:pt>
                <c:pt idx="477">
                  <c:v>-39.89991111111118</c:v>
                </c:pt>
                <c:pt idx="478">
                  <c:v>-7.391344444444826</c:v>
                </c:pt>
                <c:pt idx="479">
                  <c:v>55.908655555555328</c:v>
                </c:pt>
                <c:pt idx="480">
                  <c:v>81.053099999999716</c:v>
                </c:pt>
                <c:pt idx="481">
                  <c:v>114.85309999999959</c:v>
                </c:pt>
                <c:pt idx="482">
                  <c:v>161.21976666666643</c:v>
                </c:pt>
                <c:pt idx="483">
                  <c:v>216.56421111111086</c:v>
                </c:pt>
                <c:pt idx="484">
                  <c:v>219.48643333333317</c:v>
                </c:pt>
                <c:pt idx="485">
                  <c:v>262.61976666666646</c:v>
                </c:pt>
                <c:pt idx="486">
                  <c:v>160.94198888888872</c:v>
                </c:pt>
                <c:pt idx="487">
                  <c:v>251.55055555555543</c:v>
                </c:pt>
                <c:pt idx="488">
                  <c:v>311.75055555555525</c:v>
                </c:pt>
                <c:pt idx="489">
                  <c:v>324.69499999999982</c:v>
                </c:pt>
                <c:pt idx="490">
                  <c:v>407.19499999999994</c:v>
                </c:pt>
                <c:pt idx="491">
                  <c:v>332.36166666666651</c:v>
                </c:pt>
                <c:pt idx="492">
                  <c:v>529.70611111111089</c:v>
                </c:pt>
                <c:pt idx="493">
                  <c:v>614.62833333333322</c:v>
                </c:pt>
                <c:pt idx="494">
                  <c:v>576.36166666666645</c:v>
                </c:pt>
                <c:pt idx="495">
                  <c:v>554.88388888888858</c:v>
                </c:pt>
                <c:pt idx="496">
                  <c:v>636.69245555555551</c:v>
                </c:pt>
                <c:pt idx="497">
                  <c:v>468.09245555555515</c:v>
                </c:pt>
                <c:pt idx="498">
                  <c:v>640.23689999999999</c:v>
                </c:pt>
                <c:pt idx="499">
                  <c:v>579.03689999999983</c:v>
                </c:pt>
                <c:pt idx="500">
                  <c:v>599.80356666666626</c:v>
                </c:pt>
                <c:pt idx="501">
                  <c:v>708.54801111111078</c:v>
                </c:pt>
                <c:pt idx="502">
                  <c:v>643.47023333333311</c:v>
                </c:pt>
                <c:pt idx="503">
                  <c:v>551.20356666666635</c:v>
                </c:pt>
                <c:pt idx="504">
                  <c:v>652.72578888888893</c:v>
                </c:pt>
                <c:pt idx="505">
                  <c:v>656.63435555555532</c:v>
                </c:pt>
                <c:pt idx="506">
                  <c:v>639.53435555555541</c:v>
                </c:pt>
                <c:pt idx="507">
                  <c:v>611.27879999999971</c:v>
                </c:pt>
                <c:pt idx="508">
                  <c:v>634.17879999999991</c:v>
                </c:pt>
                <c:pt idx="509">
                  <c:v>729.74546666666652</c:v>
                </c:pt>
                <c:pt idx="510">
                  <c:v>611.08991111111095</c:v>
                </c:pt>
                <c:pt idx="511">
                  <c:v>648.61213333333319</c:v>
                </c:pt>
                <c:pt idx="512">
                  <c:v>750.44546666666633</c:v>
                </c:pt>
              </c:numCache>
            </c:numRef>
          </c:yVal>
          <c:smooth val="0"/>
          <c:extLst>
            <c:ext xmlns:c16="http://schemas.microsoft.com/office/drawing/2014/chart" uri="{C3380CC4-5D6E-409C-BE32-E72D297353CC}">
              <c16:uniqueId val="{00000000-B854-4678-9683-CBF93EAA20B6}"/>
            </c:ext>
          </c:extLst>
        </c:ser>
        <c:dLbls>
          <c:showLegendKey val="0"/>
          <c:showVal val="0"/>
          <c:showCatName val="0"/>
          <c:showSerName val="0"/>
          <c:showPercent val="0"/>
          <c:showBubbleSize val="0"/>
        </c:dLbls>
        <c:axId val="144435631"/>
        <c:axId val="144432751"/>
      </c:scatterChart>
      <c:valAx>
        <c:axId val="14443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44432751"/>
        <c:crosses val="autoZero"/>
        <c:crossBetween val="midCat"/>
      </c:valAx>
      <c:valAx>
        <c:axId val="14443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144435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sz="1400" b="0" i="0" u="none" strike="noStrike" kern="1200" spc="0" baseline="0">
                <a:solidFill>
                  <a:sysClr val="windowText" lastClr="000000">
                    <a:lumMod val="65000"/>
                    <a:lumOff val="35000"/>
                  </a:sysClr>
                </a:solidFill>
              </a:rPr>
              <a:t>Φασικό πορταίτο Ε χρονοσειράς και πρώτων διαφορών της - Ερώτημα 14</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scatterChart>
        <c:scatterStyle val="smoothMarker"/>
        <c:varyColors val="0"/>
        <c:ser>
          <c:idx val="0"/>
          <c:order val="0"/>
          <c:tx>
            <c:strRef>
              <c:f>'Gold Futures Historical Data'!$P$1</c:f>
              <c:strCache>
                <c:ptCount val="1"/>
                <c:pt idx="0">
                  <c:v>Δp*100 -  Ερ14</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'Gold Futures Historical Data'!$I$2:$I$3194</c:f>
              <c:numCache>
                <c:formatCode>General</c:formatCode>
                <c:ptCount val="3193"/>
                <c:pt idx="0">
                  <c:v>-46.412044444444405</c:v>
                </c:pt>
                <c:pt idx="1">
                  <c:v>-47.012044444444342</c:v>
                </c:pt>
                <c:pt idx="2">
                  <c:v>-69.667599999999908</c:v>
                </c:pt>
                <c:pt idx="3">
                  <c:v>-29.267599999999902</c:v>
                </c:pt>
                <c:pt idx="4">
                  <c:v>-32.400933333333285</c:v>
                </c:pt>
                <c:pt idx="5">
                  <c:v>-24.05648888888885</c:v>
                </c:pt>
                <c:pt idx="6">
                  <c:v>-2.3342666666665934</c:v>
                </c:pt>
                <c:pt idx="7">
                  <c:v>30.499066666666749</c:v>
                </c:pt>
                <c:pt idx="8">
                  <c:v>102.52128888888905</c:v>
                </c:pt>
                <c:pt idx="9">
                  <c:v>90.129855555555537</c:v>
                </c:pt>
                <c:pt idx="10">
                  <c:v>68.229855555555645</c:v>
                </c:pt>
                <c:pt idx="11">
                  <c:v>111.57430000000008</c:v>
                </c:pt>
                <c:pt idx="12">
                  <c:v>102.97430000000008</c:v>
                </c:pt>
                <c:pt idx="13">
                  <c:v>101.94096666666661</c:v>
                </c:pt>
                <c:pt idx="14">
                  <c:v>71.985411111111091</c:v>
                </c:pt>
                <c:pt idx="15">
                  <c:v>75.507633333333303</c:v>
                </c:pt>
                <c:pt idx="16">
                  <c:v>87.340966666666645</c:v>
                </c:pt>
                <c:pt idx="17">
                  <c:v>68.463188888888851</c:v>
                </c:pt>
                <c:pt idx="18">
                  <c:v>60.071755555555569</c:v>
                </c:pt>
                <c:pt idx="19">
                  <c:v>109.07175555555554</c:v>
                </c:pt>
                <c:pt idx="20">
                  <c:v>105.61620000000002</c:v>
                </c:pt>
                <c:pt idx="21">
                  <c:v>87.016200000000026</c:v>
                </c:pt>
                <c:pt idx="22">
                  <c:v>71.282866666666735</c:v>
                </c:pt>
                <c:pt idx="23">
                  <c:v>37.827311111111214</c:v>
                </c:pt>
                <c:pt idx="24">
                  <c:v>65.64953333333338</c:v>
                </c:pt>
                <c:pt idx="25">
                  <c:v>90.182866666666769</c:v>
                </c:pt>
                <c:pt idx="26">
                  <c:v>99.405088888888884</c:v>
                </c:pt>
                <c:pt idx="27">
                  <c:v>123.21365555555565</c:v>
                </c:pt>
                <c:pt idx="28">
                  <c:v>128.31365555555553</c:v>
                </c:pt>
                <c:pt idx="29">
                  <c:v>140.7581000000001</c:v>
                </c:pt>
                <c:pt idx="30">
                  <c:v>112.45810000000006</c:v>
                </c:pt>
                <c:pt idx="31">
                  <c:v>112.52476666666672</c:v>
                </c:pt>
                <c:pt idx="32">
                  <c:v>149.36921111111116</c:v>
                </c:pt>
                <c:pt idx="33">
                  <c:v>137.89143333333337</c:v>
                </c:pt>
                <c:pt idx="34">
                  <c:v>128.22476666666671</c:v>
                </c:pt>
                <c:pt idx="35">
                  <c:v>121.54698888888896</c:v>
                </c:pt>
                <c:pt idx="36">
                  <c:v>97.455555555555634</c:v>
                </c:pt>
                <c:pt idx="37">
                  <c:v>86.75555555555556</c:v>
                </c:pt>
                <c:pt idx="38">
                  <c:v>87.6</c:v>
                </c:pt>
                <c:pt idx="39">
                  <c:v>66</c:v>
                </c:pt>
                <c:pt idx="40">
                  <c:v>101.56666666666666</c:v>
                </c:pt>
                <c:pt idx="41">
                  <c:v>79.711111111111052</c:v>
                </c:pt>
                <c:pt idx="42">
                  <c:v>16.133333333333354</c:v>
                </c:pt>
                <c:pt idx="43">
                  <c:v>11.266666666666652</c:v>
                </c:pt>
                <c:pt idx="44">
                  <c:v>13.788888888888948</c:v>
                </c:pt>
                <c:pt idx="45">
                  <c:v>19.097455555555484</c:v>
                </c:pt>
                <c:pt idx="46">
                  <c:v>35.297455555555501</c:v>
                </c:pt>
                <c:pt idx="47">
                  <c:v>-51.858100000000064</c:v>
                </c:pt>
                <c:pt idx="48">
                  <c:v>-64.758100000000013</c:v>
                </c:pt>
                <c:pt idx="49">
                  <c:v>-90.991433333333305</c:v>
                </c:pt>
                <c:pt idx="50">
                  <c:v>-88.846988888888916</c:v>
                </c:pt>
                <c:pt idx="51">
                  <c:v>-103.12476666666666</c:v>
                </c:pt>
                <c:pt idx="52">
                  <c:v>-136.09143333333327</c:v>
                </c:pt>
                <c:pt idx="53">
                  <c:v>-149.5692111111112</c:v>
                </c:pt>
                <c:pt idx="54">
                  <c:v>-135.26064444444444</c:v>
                </c:pt>
                <c:pt idx="55">
                  <c:v>-125.06064444444442</c:v>
                </c:pt>
                <c:pt idx="56">
                  <c:v>-109.21619999999999</c:v>
                </c:pt>
                <c:pt idx="57">
                  <c:v>-97.816199999999981</c:v>
                </c:pt>
                <c:pt idx="58">
                  <c:v>-110.24953333333332</c:v>
                </c:pt>
                <c:pt idx="59">
                  <c:v>-75.105088888888929</c:v>
                </c:pt>
                <c:pt idx="60">
                  <c:v>-58.382866666666672</c:v>
                </c:pt>
                <c:pt idx="61">
                  <c:v>-63.649533333333466</c:v>
                </c:pt>
                <c:pt idx="62">
                  <c:v>-54.127311111111169</c:v>
                </c:pt>
                <c:pt idx="63">
                  <c:v>-89.718744444444496</c:v>
                </c:pt>
                <c:pt idx="64">
                  <c:v>-126.31874444444443</c:v>
                </c:pt>
                <c:pt idx="65">
                  <c:v>-104.4743</c:v>
                </c:pt>
                <c:pt idx="66">
                  <c:v>-83.474300000000085</c:v>
                </c:pt>
                <c:pt idx="67">
                  <c:v>-76.707633333333376</c:v>
                </c:pt>
                <c:pt idx="68">
                  <c:v>-67.863188888888942</c:v>
                </c:pt>
                <c:pt idx="69">
                  <c:v>-35.040966666666776</c:v>
                </c:pt>
                <c:pt idx="70">
                  <c:v>-42.907633333333479</c:v>
                </c:pt>
                <c:pt idx="71">
                  <c:v>-73.385411111111182</c:v>
                </c:pt>
                <c:pt idx="72">
                  <c:v>-118.57684444444442</c:v>
                </c:pt>
                <c:pt idx="73">
                  <c:v>-129.27684444444449</c:v>
                </c:pt>
                <c:pt idx="74">
                  <c:v>-110.33240000000015</c:v>
                </c:pt>
                <c:pt idx="75">
                  <c:v>-93.132400000000189</c:v>
                </c:pt>
                <c:pt idx="76">
                  <c:v>-76.96573333333339</c:v>
                </c:pt>
                <c:pt idx="77">
                  <c:v>-83.021288888888819</c:v>
                </c:pt>
                <c:pt idx="78">
                  <c:v>-96.299066666666789</c:v>
                </c:pt>
                <c:pt idx="79">
                  <c:v>-104.86573333333331</c:v>
                </c:pt>
                <c:pt idx="80">
                  <c:v>-128.6435111111112</c:v>
                </c:pt>
                <c:pt idx="81">
                  <c:v>-165.03494444444448</c:v>
                </c:pt>
                <c:pt idx="82">
                  <c:v>-158.73494444444455</c:v>
                </c:pt>
                <c:pt idx="83">
                  <c:v>-138.29049999999998</c:v>
                </c:pt>
                <c:pt idx="84">
                  <c:v>-115.19050000000016</c:v>
                </c:pt>
                <c:pt idx="85">
                  <c:v>-121.82383333333354</c:v>
                </c:pt>
                <c:pt idx="86">
                  <c:v>-89.679388888888923</c:v>
                </c:pt>
                <c:pt idx="87">
                  <c:v>-90.457166666666893</c:v>
                </c:pt>
                <c:pt idx="88">
                  <c:v>-92.623833333333323</c:v>
                </c:pt>
                <c:pt idx="89">
                  <c:v>-69.801611111111072</c:v>
                </c:pt>
                <c:pt idx="90">
                  <c:v>-52.79304444444449</c:v>
                </c:pt>
                <c:pt idx="91">
                  <c:v>-90.293044444444519</c:v>
                </c:pt>
                <c:pt idx="92">
                  <c:v>-124.94860000000008</c:v>
                </c:pt>
                <c:pt idx="93">
                  <c:v>-134.94860000000017</c:v>
                </c:pt>
                <c:pt idx="94">
                  <c:v>-140.78193333333337</c:v>
                </c:pt>
                <c:pt idx="95">
                  <c:v>-108.33748888888903</c:v>
                </c:pt>
                <c:pt idx="96">
                  <c:v>-130.81526666666682</c:v>
                </c:pt>
                <c:pt idx="97">
                  <c:v>-147.98193333333347</c:v>
                </c:pt>
                <c:pt idx="98">
                  <c:v>-160.25971111111113</c:v>
                </c:pt>
                <c:pt idx="99">
                  <c:v>-159.0511444444445</c:v>
                </c:pt>
                <c:pt idx="100">
                  <c:v>-148.25114444444458</c:v>
                </c:pt>
                <c:pt idx="101">
                  <c:v>-164.40670000000014</c:v>
                </c:pt>
                <c:pt idx="102">
                  <c:v>-166.70670000000018</c:v>
                </c:pt>
                <c:pt idx="103">
                  <c:v>-196.54003333333338</c:v>
                </c:pt>
                <c:pt idx="104">
                  <c:v>-184.69558888888895</c:v>
                </c:pt>
                <c:pt idx="105">
                  <c:v>-161.77336666666687</c:v>
                </c:pt>
                <c:pt idx="106">
                  <c:v>-139.74003333333326</c:v>
                </c:pt>
                <c:pt idx="107">
                  <c:v>-136.41781111111101</c:v>
                </c:pt>
                <c:pt idx="108">
                  <c:v>-127.60924444444424</c:v>
                </c:pt>
                <c:pt idx="109">
                  <c:v>-140.90924444444445</c:v>
                </c:pt>
                <c:pt idx="110">
                  <c:v>-128.86479999999997</c:v>
                </c:pt>
                <c:pt idx="111">
                  <c:v>-140.96479999999997</c:v>
                </c:pt>
                <c:pt idx="112">
                  <c:v>-158.49813333333321</c:v>
                </c:pt>
                <c:pt idx="113">
                  <c:v>-115.25368888888869</c:v>
                </c:pt>
                <c:pt idx="114">
                  <c:v>-139.53146666666666</c:v>
                </c:pt>
                <c:pt idx="115">
                  <c:v>-154.89813333333313</c:v>
                </c:pt>
                <c:pt idx="116">
                  <c:v>-163.97591111111097</c:v>
                </c:pt>
                <c:pt idx="117">
                  <c:v>-179.46734444444439</c:v>
                </c:pt>
                <c:pt idx="118">
                  <c:v>-153.36734444444429</c:v>
                </c:pt>
                <c:pt idx="119">
                  <c:v>-182.92289999999994</c:v>
                </c:pt>
                <c:pt idx="120">
                  <c:v>-171.42290000000003</c:v>
                </c:pt>
                <c:pt idx="121">
                  <c:v>-155.55623333333318</c:v>
                </c:pt>
                <c:pt idx="122">
                  <c:v>-162.41178888888879</c:v>
                </c:pt>
                <c:pt idx="123">
                  <c:v>-175.68956666666654</c:v>
                </c:pt>
                <c:pt idx="124">
                  <c:v>-192.85623333333319</c:v>
                </c:pt>
                <c:pt idx="125">
                  <c:v>-196.53401111111094</c:v>
                </c:pt>
                <c:pt idx="126">
                  <c:v>-229.72544444444441</c:v>
                </c:pt>
                <c:pt idx="127">
                  <c:v>-228.82544444444434</c:v>
                </c:pt>
                <c:pt idx="128">
                  <c:v>-240.18099999999995</c:v>
                </c:pt>
                <c:pt idx="129">
                  <c:v>-234.0809999999999</c:v>
                </c:pt>
                <c:pt idx="130">
                  <c:v>-254.21433333333329</c:v>
                </c:pt>
                <c:pt idx="131">
                  <c:v>-259.26988888888872</c:v>
                </c:pt>
                <c:pt idx="132">
                  <c:v>-273.84766666666667</c:v>
                </c:pt>
                <c:pt idx="133">
                  <c:v>-281.0143333333333</c:v>
                </c:pt>
                <c:pt idx="134">
                  <c:v>-305.29211111111096</c:v>
                </c:pt>
                <c:pt idx="135">
                  <c:v>-319.18354444444446</c:v>
                </c:pt>
                <c:pt idx="136">
                  <c:v>-338.78354444444437</c:v>
                </c:pt>
                <c:pt idx="137">
                  <c:v>-345.53909999999985</c:v>
                </c:pt>
                <c:pt idx="138">
                  <c:v>-347.03909999999996</c:v>
                </c:pt>
                <c:pt idx="139">
                  <c:v>-377.77243333333325</c:v>
                </c:pt>
                <c:pt idx="140">
                  <c:v>-345.92798888888882</c:v>
                </c:pt>
                <c:pt idx="141">
                  <c:v>-350.90576666666664</c:v>
                </c:pt>
                <c:pt idx="142">
                  <c:v>-365.67243333333317</c:v>
                </c:pt>
                <c:pt idx="143">
                  <c:v>-374.6502111111111</c:v>
                </c:pt>
                <c:pt idx="144">
                  <c:v>-378.24164444444443</c:v>
                </c:pt>
                <c:pt idx="145">
                  <c:v>-394.84164444444434</c:v>
                </c:pt>
                <c:pt idx="146">
                  <c:v>-392.3972</c:v>
                </c:pt>
                <c:pt idx="147">
                  <c:v>-373.29719999999998</c:v>
                </c:pt>
                <c:pt idx="148">
                  <c:v>-362.53053333333327</c:v>
                </c:pt>
                <c:pt idx="149">
                  <c:v>-352.68608888888883</c:v>
                </c:pt>
                <c:pt idx="150">
                  <c:v>-353.56386666666674</c:v>
                </c:pt>
                <c:pt idx="151">
                  <c:v>-386.73053333333337</c:v>
                </c:pt>
                <c:pt idx="152">
                  <c:v>-382.00831111111103</c:v>
                </c:pt>
                <c:pt idx="153">
                  <c:v>-385.59974444444435</c:v>
                </c:pt>
                <c:pt idx="154">
                  <c:v>-394.2997444444444</c:v>
                </c:pt>
                <c:pt idx="155">
                  <c:v>-374.65530000000001</c:v>
                </c:pt>
                <c:pt idx="156">
                  <c:v>-383.1552999999999</c:v>
                </c:pt>
                <c:pt idx="157">
                  <c:v>-362.38863333333342</c:v>
                </c:pt>
                <c:pt idx="158">
                  <c:v>-334.7441888888888</c:v>
                </c:pt>
                <c:pt idx="159">
                  <c:v>-330.32196666666675</c:v>
                </c:pt>
                <c:pt idx="160">
                  <c:v>-335.08863333333329</c:v>
                </c:pt>
                <c:pt idx="161">
                  <c:v>-351.66641111111113</c:v>
                </c:pt>
                <c:pt idx="162">
                  <c:v>-339.9578444444445</c:v>
                </c:pt>
                <c:pt idx="163">
                  <c:v>-327.4578444444445</c:v>
                </c:pt>
                <c:pt idx="164">
                  <c:v>-338.01339999999993</c:v>
                </c:pt>
                <c:pt idx="165">
                  <c:v>-331.71340000000009</c:v>
                </c:pt>
                <c:pt idx="166">
                  <c:v>-316.94673333333338</c:v>
                </c:pt>
                <c:pt idx="167">
                  <c:v>-347.80228888888877</c:v>
                </c:pt>
                <c:pt idx="168">
                  <c:v>-346.08006666666677</c:v>
                </c:pt>
                <c:pt idx="169">
                  <c:v>-350.94673333333321</c:v>
                </c:pt>
                <c:pt idx="170">
                  <c:v>-351.2245111111111</c:v>
                </c:pt>
                <c:pt idx="171">
                  <c:v>-362.81594444444443</c:v>
                </c:pt>
                <c:pt idx="172">
                  <c:v>-377.11594444444438</c:v>
                </c:pt>
                <c:pt idx="173">
                  <c:v>-384.5714999999999</c:v>
                </c:pt>
                <c:pt idx="174">
                  <c:v>-401.07150000000001</c:v>
                </c:pt>
                <c:pt idx="175">
                  <c:v>-384.2048333333334</c:v>
                </c:pt>
                <c:pt idx="176">
                  <c:v>-389.06038888888878</c:v>
                </c:pt>
                <c:pt idx="177">
                  <c:v>-381.33816666666678</c:v>
                </c:pt>
                <c:pt idx="178">
                  <c:v>-401.70483333333323</c:v>
                </c:pt>
                <c:pt idx="179">
                  <c:v>-403.58261111111102</c:v>
                </c:pt>
                <c:pt idx="180">
                  <c:v>-379.67404444444435</c:v>
                </c:pt>
                <c:pt idx="181">
                  <c:v>-356.27404444444448</c:v>
                </c:pt>
                <c:pt idx="182">
                  <c:v>-364.62959999999987</c:v>
                </c:pt>
                <c:pt idx="183">
                  <c:v>-306.42959999999994</c:v>
                </c:pt>
                <c:pt idx="184">
                  <c:v>-288.66293333333346</c:v>
                </c:pt>
                <c:pt idx="185">
                  <c:v>-299.21848888888888</c:v>
                </c:pt>
                <c:pt idx="186">
                  <c:v>-285.39626666666675</c:v>
                </c:pt>
                <c:pt idx="187">
                  <c:v>-279.16293333333329</c:v>
                </c:pt>
                <c:pt idx="188">
                  <c:v>-296.14071111111099</c:v>
                </c:pt>
                <c:pt idx="189">
                  <c:v>-268.33214444444445</c:v>
                </c:pt>
                <c:pt idx="190">
                  <c:v>-228.83214444444448</c:v>
                </c:pt>
                <c:pt idx="191">
                  <c:v>-220.68770000000009</c:v>
                </c:pt>
                <c:pt idx="192">
                  <c:v>-203.98770000000013</c:v>
                </c:pt>
                <c:pt idx="193">
                  <c:v>-208.12103333333329</c:v>
                </c:pt>
                <c:pt idx="194">
                  <c:v>-219.27658888888885</c:v>
                </c:pt>
                <c:pt idx="195">
                  <c:v>-233.65436666666673</c:v>
                </c:pt>
                <c:pt idx="196">
                  <c:v>-226.52103333333343</c:v>
                </c:pt>
                <c:pt idx="197">
                  <c:v>-238.19881111111118</c:v>
                </c:pt>
                <c:pt idx="198">
                  <c:v>-235.39024444444442</c:v>
                </c:pt>
                <c:pt idx="199">
                  <c:v>-271.09024444444447</c:v>
                </c:pt>
                <c:pt idx="200">
                  <c:v>-272.54579999999999</c:v>
                </c:pt>
                <c:pt idx="201">
                  <c:v>-258.5458000000001</c:v>
                </c:pt>
                <c:pt idx="202">
                  <c:v>-248.27913333333339</c:v>
                </c:pt>
                <c:pt idx="203">
                  <c:v>-294.23468888888891</c:v>
                </c:pt>
                <c:pt idx="204">
                  <c:v>-287.01246666666668</c:v>
                </c:pt>
                <c:pt idx="205">
                  <c:v>-300.37913333333336</c:v>
                </c:pt>
                <c:pt idx="206">
                  <c:v>-302.4569111111112</c:v>
                </c:pt>
                <c:pt idx="207">
                  <c:v>-313.64834444444443</c:v>
                </c:pt>
                <c:pt idx="208">
                  <c:v>-308.94834444444439</c:v>
                </c:pt>
                <c:pt idx="209">
                  <c:v>-316.20390000000009</c:v>
                </c:pt>
                <c:pt idx="210">
                  <c:v>-276.00390000000016</c:v>
                </c:pt>
                <c:pt idx="211">
                  <c:v>-237.33723333333336</c:v>
                </c:pt>
                <c:pt idx="212">
                  <c:v>-226.89278888888879</c:v>
                </c:pt>
                <c:pt idx="213">
                  <c:v>-225.17056666666653</c:v>
                </c:pt>
                <c:pt idx="214">
                  <c:v>-221.9372333333331</c:v>
                </c:pt>
                <c:pt idx="215">
                  <c:v>-216.01501111111094</c:v>
                </c:pt>
                <c:pt idx="216">
                  <c:v>-234.40644444444422</c:v>
                </c:pt>
                <c:pt idx="217">
                  <c:v>-233.2064444444442</c:v>
                </c:pt>
                <c:pt idx="218">
                  <c:v>-177.4619999999999</c:v>
                </c:pt>
                <c:pt idx="219">
                  <c:v>-257.5619999999999</c:v>
                </c:pt>
                <c:pt idx="220">
                  <c:v>-149.19533333333328</c:v>
                </c:pt>
                <c:pt idx="221">
                  <c:v>-303.05088888888866</c:v>
                </c:pt>
                <c:pt idx="222">
                  <c:v>-332.82866666666666</c:v>
                </c:pt>
                <c:pt idx="223">
                  <c:v>-175.29533333333325</c:v>
                </c:pt>
                <c:pt idx="224">
                  <c:v>-193.5731111111109</c:v>
                </c:pt>
                <c:pt idx="225">
                  <c:v>-90.764544444444368</c:v>
                </c:pt>
                <c:pt idx="226">
                  <c:v>-154.2645444444444</c:v>
                </c:pt>
                <c:pt idx="227">
                  <c:v>-121.62009999999978</c:v>
                </c:pt>
                <c:pt idx="228">
                  <c:v>-151.42009999999982</c:v>
                </c:pt>
                <c:pt idx="229">
                  <c:v>-127.95343333333329</c:v>
                </c:pt>
                <c:pt idx="230">
                  <c:v>-83.808988888888678</c:v>
                </c:pt>
                <c:pt idx="231">
                  <c:v>-96.686766666666557</c:v>
                </c:pt>
                <c:pt idx="232">
                  <c:v>-97.953433333333123</c:v>
                </c:pt>
                <c:pt idx="233">
                  <c:v>-174.23121111111101</c:v>
                </c:pt>
                <c:pt idx="234">
                  <c:v>-125.92264444444424</c:v>
                </c:pt>
                <c:pt idx="235">
                  <c:v>-122.62264444444432</c:v>
                </c:pt>
                <c:pt idx="236">
                  <c:v>-100.77819999999988</c:v>
                </c:pt>
                <c:pt idx="237">
                  <c:v>-86.878199999999879</c:v>
                </c:pt>
                <c:pt idx="238">
                  <c:v>-81.911533333333125</c:v>
                </c:pt>
                <c:pt idx="239">
                  <c:v>-65.467088888888782</c:v>
                </c:pt>
                <c:pt idx="240">
                  <c:v>-58.544866666666479</c:v>
                </c:pt>
                <c:pt idx="241">
                  <c:v>22.188466666666727</c:v>
                </c:pt>
                <c:pt idx="242">
                  <c:v>88.31068888888916</c:v>
                </c:pt>
                <c:pt idx="243">
                  <c:v>126.6192555555557</c:v>
                </c:pt>
                <c:pt idx="244">
                  <c:v>36.919255555555623</c:v>
                </c:pt>
                <c:pt idx="245">
                  <c:v>27.163700000000148</c:v>
                </c:pt>
                <c:pt idx="246">
                  <c:v>57.763700000000199</c:v>
                </c:pt>
                <c:pt idx="247">
                  <c:v>21.230366666666725</c:v>
                </c:pt>
                <c:pt idx="248">
                  <c:v>37.574811111111387</c:v>
                </c:pt>
                <c:pt idx="249">
                  <c:v>53.397033333333326</c:v>
                </c:pt>
                <c:pt idx="250">
                  <c:v>-50.86963333333324</c:v>
                </c:pt>
                <c:pt idx="251">
                  <c:v>-12.147411111110898</c:v>
                </c:pt>
                <c:pt idx="252">
                  <c:v>2.9611555555555924</c:v>
                </c:pt>
                <c:pt idx="253">
                  <c:v>-28.138844444444345</c:v>
                </c:pt>
                <c:pt idx="254">
                  <c:v>-36.39439999999982</c:v>
                </c:pt>
                <c:pt idx="255">
                  <c:v>-59.19439999999986</c:v>
                </c:pt>
                <c:pt idx="256">
                  <c:v>16.772266666666667</c:v>
                </c:pt>
                <c:pt idx="257">
                  <c:v>-46.583288888888717</c:v>
                </c:pt>
                <c:pt idx="258">
                  <c:v>-59.761066666666551</c:v>
                </c:pt>
                <c:pt idx="259">
                  <c:v>-154.3277333333333</c:v>
                </c:pt>
                <c:pt idx="260">
                  <c:v>-112.10551111111096</c:v>
                </c:pt>
                <c:pt idx="261">
                  <c:v>-112.29694444444442</c:v>
                </c:pt>
                <c:pt idx="262">
                  <c:v>-78.396944444444358</c:v>
                </c:pt>
                <c:pt idx="263">
                  <c:v>-90.952499999999787</c:v>
                </c:pt>
                <c:pt idx="264">
                  <c:v>-76.052500000000009</c:v>
                </c:pt>
                <c:pt idx="265">
                  <c:v>-131.88583333333321</c:v>
                </c:pt>
                <c:pt idx="266">
                  <c:v>-135.14138888888868</c:v>
                </c:pt>
                <c:pt idx="267">
                  <c:v>-107.31916666666652</c:v>
                </c:pt>
                <c:pt idx="268">
                  <c:v>-122.98583333333318</c:v>
                </c:pt>
                <c:pt idx="269">
                  <c:v>-169.76361111111106</c:v>
                </c:pt>
                <c:pt idx="270">
                  <c:v>-163.15504444444434</c:v>
                </c:pt>
                <c:pt idx="271">
                  <c:v>-220.35504444444442</c:v>
                </c:pt>
                <c:pt idx="272">
                  <c:v>-276.01059999999995</c:v>
                </c:pt>
                <c:pt idx="273">
                  <c:v>-303.31060000000002</c:v>
                </c:pt>
                <c:pt idx="274">
                  <c:v>-278.44393333333318</c:v>
                </c:pt>
                <c:pt idx="275">
                  <c:v>-254.19948888888865</c:v>
                </c:pt>
                <c:pt idx="276">
                  <c:v>-261.77726666666661</c:v>
                </c:pt>
                <c:pt idx="277">
                  <c:v>-274.64393333333328</c:v>
                </c:pt>
                <c:pt idx="278">
                  <c:v>-267.82171111111103</c:v>
                </c:pt>
                <c:pt idx="279">
                  <c:v>-236.21314444444431</c:v>
                </c:pt>
                <c:pt idx="280">
                  <c:v>-250.01314444444429</c:v>
                </c:pt>
                <c:pt idx="281">
                  <c:v>-267.06869999999992</c:v>
                </c:pt>
                <c:pt idx="282">
                  <c:v>-200.66869999999994</c:v>
                </c:pt>
                <c:pt idx="283">
                  <c:v>-190.10203333333328</c:v>
                </c:pt>
                <c:pt idx="284">
                  <c:v>-148.45758888888867</c:v>
                </c:pt>
                <c:pt idx="285">
                  <c:v>-118.83536666666654</c:v>
                </c:pt>
                <c:pt idx="286">
                  <c:v>-140.40203333333329</c:v>
                </c:pt>
                <c:pt idx="287">
                  <c:v>-162.17981111111095</c:v>
                </c:pt>
                <c:pt idx="288">
                  <c:v>-276.77124444444428</c:v>
                </c:pt>
                <c:pt idx="289">
                  <c:v>-279.37124444444441</c:v>
                </c:pt>
                <c:pt idx="290">
                  <c:v>-280.92679999999984</c:v>
                </c:pt>
                <c:pt idx="291">
                  <c:v>-251.32680000000005</c:v>
                </c:pt>
                <c:pt idx="292">
                  <c:v>-242.66013333333325</c:v>
                </c:pt>
                <c:pt idx="293">
                  <c:v>-253.01568888888886</c:v>
                </c:pt>
                <c:pt idx="294">
                  <c:v>-237.7934666666666</c:v>
                </c:pt>
                <c:pt idx="295">
                  <c:v>-300.36013333333335</c:v>
                </c:pt>
                <c:pt idx="296">
                  <c:v>-294.93791111111096</c:v>
                </c:pt>
                <c:pt idx="297">
                  <c:v>-292.92934444444438</c:v>
                </c:pt>
                <c:pt idx="298">
                  <c:v>-268.92934444444438</c:v>
                </c:pt>
                <c:pt idx="299">
                  <c:v>-261.68489999999986</c:v>
                </c:pt>
                <c:pt idx="300">
                  <c:v>-300.58490000000006</c:v>
                </c:pt>
                <c:pt idx="301">
                  <c:v>-337.21823333333322</c:v>
                </c:pt>
                <c:pt idx="302">
                  <c:v>-334.17378888888874</c:v>
                </c:pt>
                <c:pt idx="303">
                  <c:v>-324.15156666666678</c:v>
                </c:pt>
                <c:pt idx="304">
                  <c:v>-333.31823333333318</c:v>
                </c:pt>
                <c:pt idx="305">
                  <c:v>-332.19601111111098</c:v>
                </c:pt>
                <c:pt idx="306">
                  <c:v>-307.88744444444444</c:v>
                </c:pt>
                <c:pt idx="307">
                  <c:v>-331.7874444444443</c:v>
                </c:pt>
                <c:pt idx="308">
                  <c:v>-305.64299999999992</c:v>
                </c:pt>
                <c:pt idx="309">
                  <c:v>-251.14300000000003</c:v>
                </c:pt>
                <c:pt idx="310">
                  <c:v>-263.57633333333337</c:v>
                </c:pt>
                <c:pt idx="311">
                  <c:v>-327.03188888888889</c:v>
                </c:pt>
                <c:pt idx="312">
                  <c:v>-327.70966666666675</c:v>
                </c:pt>
                <c:pt idx="313">
                  <c:v>-334.97633333333329</c:v>
                </c:pt>
                <c:pt idx="314">
                  <c:v>-324.35411111111108</c:v>
                </c:pt>
                <c:pt idx="315">
                  <c:v>-321.44554444444441</c:v>
                </c:pt>
                <c:pt idx="316">
                  <c:v>-315.94554444444441</c:v>
                </c:pt>
                <c:pt idx="317">
                  <c:v>-354.00109999999984</c:v>
                </c:pt>
                <c:pt idx="318">
                  <c:v>-332.2011</c:v>
                </c:pt>
                <c:pt idx="319">
                  <c:v>-313.03443333333342</c:v>
                </c:pt>
                <c:pt idx="320">
                  <c:v>-355.08998888888885</c:v>
                </c:pt>
                <c:pt idx="321">
                  <c:v>-331.96776666666676</c:v>
                </c:pt>
                <c:pt idx="322">
                  <c:v>-305.7344333333333</c:v>
                </c:pt>
                <c:pt idx="323">
                  <c:v>-257.81221111111114</c:v>
                </c:pt>
                <c:pt idx="324">
                  <c:v>-273.90364444444447</c:v>
                </c:pt>
                <c:pt idx="325">
                  <c:v>-206.30364444444436</c:v>
                </c:pt>
                <c:pt idx="326">
                  <c:v>-193.75919999999988</c:v>
                </c:pt>
                <c:pt idx="327">
                  <c:v>-246.55919999999992</c:v>
                </c:pt>
                <c:pt idx="328">
                  <c:v>-216.59253333333339</c:v>
                </c:pt>
                <c:pt idx="329">
                  <c:v>-244.44808888888878</c:v>
                </c:pt>
                <c:pt idx="330">
                  <c:v>-219.82586666666666</c:v>
                </c:pt>
                <c:pt idx="331">
                  <c:v>-198.8925333333334</c:v>
                </c:pt>
                <c:pt idx="332">
                  <c:v>-248.77031111111097</c:v>
                </c:pt>
                <c:pt idx="333">
                  <c:v>-275.36174444444453</c:v>
                </c:pt>
                <c:pt idx="334">
                  <c:v>-315.26174444444439</c:v>
                </c:pt>
                <c:pt idx="335">
                  <c:v>-397.6173</c:v>
                </c:pt>
                <c:pt idx="336">
                  <c:v>-361.31729999999993</c:v>
                </c:pt>
                <c:pt idx="337">
                  <c:v>-340.65063333333336</c:v>
                </c:pt>
                <c:pt idx="338">
                  <c:v>-344.60618888888888</c:v>
                </c:pt>
                <c:pt idx="339">
                  <c:v>-317.38396666666665</c:v>
                </c:pt>
                <c:pt idx="340">
                  <c:v>-360.15063333333342</c:v>
                </c:pt>
                <c:pt idx="341">
                  <c:v>-380.12841111111112</c:v>
                </c:pt>
                <c:pt idx="342">
                  <c:v>-412.81984444444436</c:v>
                </c:pt>
                <c:pt idx="343">
                  <c:v>-483.81984444444436</c:v>
                </c:pt>
                <c:pt idx="344">
                  <c:v>-530.07540000000006</c:v>
                </c:pt>
                <c:pt idx="345">
                  <c:v>-503.97540000000004</c:v>
                </c:pt>
                <c:pt idx="346">
                  <c:v>-453.10873333333342</c:v>
                </c:pt>
                <c:pt idx="347">
                  <c:v>-440.9642888888888</c:v>
                </c:pt>
                <c:pt idx="348">
                  <c:v>-415.04206666666676</c:v>
                </c:pt>
                <c:pt idx="349">
                  <c:v>-476.10873333333325</c:v>
                </c:pt>
                <c:pt idx="350">
                  <c:v>-498.88651111111113</c:v>
                </c:pt>
                <c:pt idx="351">
                  <c:v>-529.87794444444455</c:v>
                </c:pt>
                <c:pt idx="352">
                  <c:v>-535.37794444444455</c:v>
                </c:pt>
                <c:pt idx="353">
                  <c:v>-587.43349999999998</c:v>
                </c:pt>
                <c:pt idx="354">
                  <c:v>-612.63350000000014</c:v>
                </c:pt>
                <c:pt idx="355">
                  <c:v>-579.26683333333335</c:v>
                </c:pt>
                <c:pt idx="356">
                  <c:v>-538.62238888888896</c:v>
                </c:pt>
                <c:pt idx="357">
                  <c:v>-597.00016666666681</c:v>
                </c:pt>
                <c:pt idx="358">
                  <c:v>-598.06683333333331</c:v>
                </c:pt>
                <c:pt idx="359">
                  <c:v>-618.84461111111113</c:v>
                </c:pt>
                <c:pt idx="360">
                  <c:v>-591.13604444444456</c:v>
                </c:pt>
                <c:pt idx="361">
                  <c:v>-509.73604444444447</c:v>
                </c:pt>
                <c:pt idx="362">
                  <c:v>-531.19159999999999</c:v>
                </c:pt>
                <c:pt idx="363">
                  <c:v>-528.69160000000011</c:v>
                </c:pt>
                <c:pt idx="364">
                  <c:v>-468.72493333333335</c:v>
                </c:pt>
                <c:pt idx="365">
                  <c:v>-464.78048888888878</c:v>
                </c:pt>
                <c:pt idx="366">
                  <c:v>-473.45826666666687</c:v>
                </c:pt>
                <c:pt idx="367">
                  <c:v>-477.72493333333341</c:v>
                </c:pt>
                <c:pt idx="368">
                  <c:v>-465.00271111111107</c:v>
                </c:pt>
                <c:pt idx="369">
                  <c:v>-484.79414444444444</c:v>
                </c:pt>
                <c:pt idx="370">
                  <c:v>-436.5941444444444</c:v>
                </c:pt>
                <c:pt idx="371">
                  <c:v>-459.74969999999996</c:v>
                </c:pt>
                <c:pt idx="372">
                  <c:v>-388.24970000000008</c:v>
                </c:pt>
                <c:pt idx="373">
                  <c:v>-377.78303333333332</c:v>
                </c:pt>
                <c:pt idx="374">
                  <c:v>-374.33858888888898</c:v>
                </c:pt>
                <c:pt idx="375">
                  <c:v>-425.01636666666684</c:v>
                </c:pt>
                <c:pt idx="376">
                  <c:v>-435.58303333333333</c:v>
                </c:pt>
                <c:pt idx="377">
                  <c:v>-469.56081111111104</c:v>
                </c:pt>
                <c:pt idx="378">
                  <c:v>-506.35224444444441</c:v>
                </c:pt>
                <c:pt idx="379">
                  <c:v>-480.35224444444441</c:v>
                </c:pt>
                <c:pt idx="380">
                  <c:v>-474.70780000000002</c:v>
                </c:pt>
                <c:pt idx="381">
                  <c:v>-365.80780000000004</c:v>
                </c:pt>
                <c:pt idx="382">
                  <c:v>-350.24113333333338</c:v>
                </c:pt>
                <c:pt idx="383">
                  <c:v>-345.09668888888899</c:v>
                </c:pt>
                <c:pt idx="384">
                  <c:v>-303.17446666666672</c:v>
                </c:pt>
                <c:pt idx="385">
                  <c:v>-321.6411333333333</c:v>
                </c:pt>
                <c:pt idx="386">
                  <c:v>-356.51891111111109</c:v>
                </c:pt>
                <c:pt idx="387">
                  <c:v>-351.21034444444456</c:v>
                </c:pt>
                <c:pt idx="388">
                  <c:v>-336.81034444444447</c:v>
                </c:pt>
                <c:pt idx="389">
                  <c:v>-348.86590000000012</c:v>
                </c:pt>
                <c:pt idx="390">
                  <c:v>-384.96590000000015</c:v>
                </c:pt>
                <c:pt idx="391">
                  <c:v>-418.09923333333353</c:v>
                </c:pt>
                <c:pt idx="392">
                  <c:v>-389.354788888889</c:v>
                </c:pt>
                <c:pt idx="393">
                  <c:v>-380.03256666666687</c:v>
                </c:pt>
                <c:pt idx="394">
                  <c:v>-394.59923333333336</c:v>
                </c:pt>
                <c:pt idx="395">
                  <c:v>-446.07701111111106</c:v>
                </c:pt>
                <c:pt idx="396">
                  <c:v>-450.26844444444453</c:v>
                </c:pt>
                <c:pt idx="397">
                  <c:v>-458.66844444444462</c:v>
                </c:pt>
                <c:pt idx="398">
                  <c:v>-433.82399999999996</c:v>
                </c:pt>
                <c:pt idx="399">
                  <c:v>-428.72400000000016</c:v>
                </c:pt>
                <c:pt idx="400">
                  <c:v>-410.55733333333336</c:v>
                </c:pt>
                <c:pt idx="401">
                  <c:v>-431.61288888888902</c:v>
                </c:pt>
                <c:pt idx="402">
                  <c:v>-459.49066666666693</c:v>
                </c:pt>
                <c:pt idx="403">
                  <c:v>-498.05733333333342</c:v>
                </c:pt>
                <c:pt idx="404">
                  <c:v>-484.33511111111108</c:v>
                </c:pt>
                <c:pt idx="405">
                  <c:v>-460.92654444444463</c:v>
                </c:pt>
                <c:pt idx="406">
                  <c:v>-496.82654444444449</c:v>
                </c:pt>
                <c:pt idx="407">
                  <c:v>-500.28210000000001</c:v>
                </c:pt>
                <c:pt idx="408">
                  <c:v>-498.18210000000022</c:v>
                </c:pt>
                <c:pt idx="409">
                  <c:v>-554.31543333333343</c:v>
                </c:pt>
                <c:pt idx="410">
                  <c:v>-572.57098888888891</c:v>
                </c:pt>
                <c:pt idx="411">
                  <c:v>-474.24876666666694</c:v>
                </c:pt>
                <c:pt idx="412">
                  <c:v>-429.31543333333343</c:v>
                </c:pt>
                <c:pt idx="413">
                  <c:v>-434.79321111111113</c:v>
                </c:pt>
                <c:pt idx="414">
                  <c:v>-437.68464444444464</c:v>
                </c:pt>
                <c:pt idx="415">
                  <c:v>-511.08464444444451</c:v>
                </c:pt>
                <c:pt idx="416">
                  <c:v>-470.94020000000012</c:v>
                </c:pt>
                <c:pt idx="417">
                  <c:v>-449.54020000000014</c:v>
                </c:pt>
                <c:pt idx="418">
                  <c:v>-359.77353333333366</c:v>
                </c:pt>
                <c:pt idx="419">
                  <c:v>-432.32908888888886</c:v>
                </c:pt>
                <c:pt idx="420">
                  <c:v>-409.40686666666704</c:v>
                </c:pt>
                <c:pt idx="421">
                  <c:v>-384.27353333333326</c:v>
                </c:pt>
                <c:pt idx="422">
                  <c:v>-390.95131111111101</c:v>
                </c:pt>
                <c:pt idx="423">
                  <c:v>-414.74274444444438</c:v>
                </c:pt>
                <c:pt idx="424">
                  <c:v>-448.24274444444438</c:v>
                </c:pt>
                <c:pt idx="425">
                  <c:v>-435.29830000000027</c:v>
                </c:pt>
                <c:pt idx="426">
                  <c:v>-430.89830000000006</c:v>
                </c:pt>
                <c:pt idx="427">
                  <c:v>-449.63163333333358</c:v>
                </c:pt>
                <c:pt idx="428">
                  <c:v>-459.38718888888906</c:v>
                </c:pt>
                <c:pt idx="429">
                  <c:v>-420.46496666666678</c:v>
                </c:pt>
                <c:pt idx="430">
                  <c:v>-443.73163333333355</c:v>
                </c:pt>
                <c:pt idx="431">
                  <c:v>-468.10941111111111</c:v>
                </c:pt>
                <c:pt idx="432">
                  <c:v>-446.5008444444444</c:v>
                </c:pt>
                <c:pt idx="433">
                  <c:v>-411.30084444444458</c:v>
                </c:pt>
                <c:pt idx="434">
                  <c:v>-327.95639999999992</c:v>
                </c:pt>
                <c:pt idx="435">
                  <c:v>-348.45640000000026</c:v>
                </c:pt>
                <c:pt idx="436">
                  <c:v>-345.8897333333336</c:v>
                </c:pt>
                <c:pt idx="437">
                  <c:v>-266.34528888888889</c:v>
                </c:pt>
                <c:pt idx="438">
                  <c:v>-156.52306666666695</c:v>
                </c:pt>
                <c:pt idx="439">
                  <c:v>-135.28973333333329</c:v>
                </c:pt>
                <c:pt idx="440">
                  <c:v>-105.16751111111131</c:v>
                </c:pt>
                <c:pt idx="441">
                  <c:v>-175.75894444444441</c:v>
                </c:pt>
                <c:pt idx="442">
                  <c:v>-225.95894444444471</c:v>
                </c:pt>
                <c:pt idx="443">
                  <c:v>-165.81450000000032</c:v>
                </c:pt>
                <c:pt idx="444">
                  <c:v>-120.41450000000009</c:v>
                </c:pt>
                <c:pt idx="445">
                  <c:v>-199.84783333333343</c:v>
                </c:pt>
                <c:pt idx="446">
                  <c:v>-185.50338888888899</c:v>
                </c:pt>
                <c:pt idx="447">
                  <c:v>-204.78116666666696</c:v>
                </c:pt>
                <c:pt idx="448">
                  <c:v>-188.94783333333339</c:v>
                </c:pt>
                <c:pt idx="449">
                  <c:v>-216.62561111111114</c:v>
                </c:pt>
                <c:pt idx="450">
                  <c:v>-211.8170444444446</c:v>
                </c:pt>
                <c:pt idx="451">
                  <c:v>-164.71704444444472</c:v>
                </c:pt>
                <c:pt idx="452">
                  <c:v>-148.27260000000015</c:v>
                </c:pt>
                <c:pt idx="453">
                  <c:v>-167.07260000000019</c:v>
                </c:pt>
                <c:pt idx="454">
                  <c:v>-181.50593333333353</c:v>
                </c:pt>
                <c:pt idx="455">
                  <c:v>-113.46148888888882</c:v>
                </c:pt>
                <c:pt idx="456">
                  <c:v>-108.23926666666679</c:v>
                </c:pt>
                <c:pt idx="457">
                  <c:v>-52.305933333333314</c:v>
                </c:pt>
                <c:pt idx="458">
                  <c:v>-53.483711111111063</c:v>
                </c:pt>
                <c:pt idx="459">
                  <c:v>-75.975144444444709</c:v>
                </c:pt>
                <c:pt idx="460">
                  <c:v>-101.87514444444483</c:v>
                </c:pt>
                <c:pt idx="461">
                  <c:v>-22.930700000000257</c:v>
                </c:pt>
                <c:pt idx="462">
                  <c:v>15.269299999999703</c:v>
                </c:pt>
                <c:pt idx="463">
                  <c:v>52.835966666666366</c:v>
                </c:pt>
                <c:pt idx="464">
                  <c:v>55.280411111111164</c:v>
                </c:pt>
                <c:pt idx="465">
                  <c:v>65.402633333333284</c:v>
                </c:pt>
                <c:pt idx="466">
                  <c:v>110.63596666666649</c:v>
                </c:pt>
                <c:pt idx="467">
                  <c:v>113.15818888888856</c:v>
                </c:pt>
                <c:pt idx="468">
                  <c:v>116.36675555555519</c:v>
                </c:pt>
                <c:pt idx="469">
                  <c:v>62.866755555555159</c:v>
                </c:pt>
                <c:pt idx="470">
                  <c:v>-69.188800000000271</c:v>
                </c:pt>
                <c:pt idx="471">
                  <c:v>76.311199999999872</c:v>
                </c:pt>
                <c:pt idx="472">
                  <c:v>36.477866666666444</c:v>
                </c:pt>
                <c:pt idx="473">
                  <c:v>17.822311111110878</c:v>
                </c:pt>
                <c:pt idx="474">
                  <c:v>22.24453333333318</c:v>
                </c:pt>
                <c:pt idx="475">
                  <c:v>-16.122133333333522</c:v>
                </c:pt>
                <c:pt idx="476">
                  <c:v>-39.89991111111118</c:v>
                </c:pt>
                <c:pt idx="477">
                  <c:v>-7.391344444444826</c:v>
                </c:pt>
                <c:pt idx="478">
                  <c:v>55.908655555555328</c:v>
                </c:pt>
                <c:pt idx="479">
                  <c:v>81.053099999999716</c:v>
                </c:pt>
                <c:pt idx="480">
                  <c:v>114.85309999999959</c:v>
                </c:pt>
                <c:pt idx="481">
                  <c:v>161.21976666666643</c:v>
                </c:pt>
                <c:pt idx="482">
                  <c:v>216.56421111111086</c:v>
                </c:pt>
                <c:pt idx="483">
                  <c:v>219.48643333333317</c:v>
                </c:pt>
                <c:pt idx="484">
                  <c:v>262.61976666666646</c:v>
                </c:pt>
                <c:pt idx="485">
                  <c:v>160.94198888888872</c:v>
                </c:pt>
                <c:pt idx="486">
                  <c:v>251.55055555555543</c:v>
                </c:pt>
                <c:pt idx="487">
                  <c:v>311.75055555555525</c:v>
                </c:pt>
                <c:pt idx="488">
                  <c:v>324.69499999999982</c:v>
                </c:pt>
                <c:pt idx="489">
                  <c:v>407.19499999999994</c:v>
                </c:pt>
                <c:pt idx="490">
                  <c:v>332.36166666666651</c:v>
                </c:pt>
                <c:pt idx="491">
                  <c:v>529.70611111111089</c:v>
                </c:pt>
                <c:pt idx="492">
                  <c:v>614.62833333333322</c:v>
                </c:pt>
                <c:pt idx="493">
                  <c:v>576.36166666666645</c:v>
                </c:pt>
                <c:pt idx="494">
                  <c:v>554.88388888888858</c:v>
                </c:pt>
                <c:pt idx="495">
                  <c:v>636.69245555555551</c:v>
                </c:pt>
                <c:pt idx="496">
                  <c:v>468.09245555555515</c:v>
                </c:pt>
                <c:pt idx="497">
                  <c:v>640.23689999999999</c:v>
                </c:pt>
                <c:pt idx="498">
                  <c:v>579.03689999999983</c:v>
                </c:pt>
                <c:pt idx="499">
                  <c:v>599.80356666666626</c:v>
                </c:pt>
                <c:pt idx="500">
                  <c:v>708.54801111111078</c:v>
                </c:pt>
                <c:pt idx="501">
                  <c:v>643.47023333333311</c:v>
                </c:pt>
                <c:pt idx="502">
                  <c:v>551.20356666666635</c:v>
                </c:pt>
                <c:pt idx="503">
                  <c:v>652.72578888888893</c:v>
                </c:pt>
                <c:pt idx="504">
                  <c:v>656.63435555555532</c:v>
                </c:pt>
                <c:pt idx="505">
                  <c:v>639.53435555555541</c:v>
                </c:pt>
                <c:pt idx="506">
                  <c:v>611.27879999999971</c:v>
                </c:pt>
                <c:pt idx="507">
                  <c:v>634.17879999999991</c:v>
                </c:pt>
                <c:pt idx="508">
                  <c:v>729.74546666666652</c:v>
                </c:pt>
                <c:pt idx="509">
                  <c:v>611.08991111111095</c:v>
                </c:pt>
                <c:pt idx="510">
                  <c:v>648.61213333333319</c:v>
                </c:pt>
                <c:pt idx="511">
                  <c:v>750.44546666666633</c:v>
                </c:pt>
              </c:numCache>
            </c:numRef>
          </c:xVal>
          <c:yVal>
            <c:numRef>
              <c:f>'Gold Futures Historical Data'!$P$2:$P$3194</c:f>
              <c:numCache>
                <c:formatCode>General</c:formatCode>
                <c:ptCount val="3193"/>
                <c:pt idx="1">
                  <c:v>101.3105307184691</c:v>
                </c:pt>
                <c:pt idx="2">
                  <c:v>-148.0852669307682</c:v>
                </c:pt>
                <c:pt idx="3">
                  <c:v>343.38282175061516</c:v>
                </c:pt>
                <c:pt idx="4">
                  <c:v>-66.012652425048543</c:v>
                </c:pt>
                <c:pt idx="5">
                  <c:v>51.080908510443393</c:v>
                </c:pt>
                <c:pt idx="6">
                  <c:v>180.04299534217247</c:v>
                </c:pt>
                <c:pt idx="7">
                  <c:v>356.74181566899847</c:v>
                </c:pt>
                <c:pt idx="8">
                  <c:v>659.18993061158653</c:v>
                </c:pt>
                <c:pt idx="9">
                  <c:v>-69.873253168671894</c:v>
                </c:pt>
                <c:pt idx="10">
                  <c:v>-85.217961324154885</c:v>
                </c:pt>
                <c:pt idx="11">
                  <c:v>395.84480994727278</c:v>
                </c:pt>
                <c:pt idx="12">
                  <c:v>-89.725265999682009</c:v>
                </c:pt>
                <c:pt idx="13">
                  <c:v>-40.660129155705462</c:v>
                </c:pt>
                <c:pt idx="14">
                  <c:v>-267.68172888015755</c:v>
                </c:pt>
                <c:pt idx="15">
                  <c:v>15.529219452391427</c:v>
                </c:pt>
                <c:pt idx="16">
                  <c:v>163.20951921530758</c:v>
                </c:pt>
                <c:pt idx="17">
                  <c:v>-74.518062530374579</c:v>
                </c:pt>
                <c:pt idx="18">
                  <c:v>-37.398373983739106</c:v>
                </c:pt>
                <c:pt idx="19">
                  <c:v>468.81053855094922</c:v>
                </c:pt>
                <c:pt idx="20">
                  <c:v>27.047913446676969</c:v>
                </c:pt>
                <c:pt idx="21">
                  <c:v>-167.3607291584816</c:v>
                </c:pt>
                <c:pt idx="22">
                  <c:v>-158.03336259877048</c:v>
                </c:pt>
                <c:pt idx="23">
                  <c:v>-297.52609517547501</c:v>
                </c:pt>
                <c:pt idx="24">
                  <c:v>210.79732882774192</c:v>
                </c:pt>
                <c:pt idx="25">
                  <c:v>258.64095932283095</c:v>
                </c:pt>
                <c:pt idx="26">
                  <c:v>145.96848934198226</c:v>
                </c:pt>
                <c:pt idx="27">
                  <c:v>208.71143375680683</c:v>
                </c:pt>
                <c:pt idx="28">
                  <c:v>123.97311426437571</c:v>
                </c:pt>
                <c:pt idx="29">
                  <c:v>142.81507656066026</c:v>
                </c:pt>
                <c:pt idx="30">
                  <c:v>-233.53924966099137</c:v>
                </c:pt>
                <c:pt idx="31">
                  <c:v>-30.225177572918238</c:v>
                </c:pt>
                <c:pt idx="32">
                  <c:v>251.19705340699747</c:v>
                </c:pt>
                <c:pt idx="33">
                  <c:v>-97.441237726866319</c:v>
                </c:pt>
                <c:pt idx="34">
                  <c:v>-8.933889219774013</c:v>
                </c:pt>
                <c:pt idx="35">
                  <c:v>22.284950230277818</c:v>
                </c:pt>
                <c:pt idx="36">
                  <c:v>-153.10355230409499</c:v>
                </c:pt>
                <c:pt idx="37">
                  <c:v>6.0299992462497514</c:v>
                </c:pt>
                <c:pt idx="38">
                  <c:v>58.448857249905991</c:v>
                </c:pt>
                <c:pt idx="39">
                  <c:v>-185.46786750114453</c:v>
                </c:pt>
                <c:pt idx="40">
                  <c:v>234.77677573227993</c:v>
                </c:pt>
                <c:pt idx="41">
                  <c:v>-186.77397312277077</c:v>
                </c:pt>
                <c:pt idx="42">
                  <c:v>-520.80837127565951</c:v>
                </c:pt>
                <c:pt idx="43">
                  <c:v>28.673835125447305</c:v>
                </c:pt>
                <c:pt idx="44">
                  <c:v>96.237280113591893</c:v>
                </c:pt>
                <c:pt idx="45">
                  <c:v>71.271929824560701</c:v>
                </c:pt>
                <c:pt idx="46">
                  <c:v>212.34189344576498</c:v>
                </c:pt>
                <c:pt idx="47">
                  <c:v>-655.06820223801401</c:v>
                </c:pt>
                <c:pt idx="48">
                  <c:v>-129.06428394142389</c:v>
                </c:pt>
                <c:pt idx="49">
                  <c:v>-257.12830957230102</c:v>
                </c:pt>
                <c:pt idx="50">
                  <c:v>-5.0942435048406907</c:v>
                </c:pt>
                <c:pt idx="51">
                  <c:v>-136.84482313451986</c:v>
                </c:pt>
                <c:pt idx="52">
                  <c:v>-215.40355196061194</c:v>
                </c:pt>
                <c:pt idx="53">
                  <c:v>-33.521524347214026</c:v>
                </c:pt>
                <c:pt idx="54">
                  <c:v>157.15898237388325</c:v>
                </c:pt>
                <c:pt idx="55">
                  <c:v>184.93267427987084</c:v>
                </c:pt>
                <c:pt idx="56">
                  <c:v>190.60357799699008</c:v>
                </c:pt>
                <c:pt idx="57">
                  <c:v>72.205162254129334</c:v>
                </c:pt>
                <c:pt idx="58">
                  <c:v>-138.84214069336923</c:v>
                </c:pt>
                <c:pt idx="59">
                  <c:v>265.399737876801</c:v>
                </c:pt>
                <c:pt idx="60">
                  <c:v>122.17816975483564</c:v>
                </c:pt>
                <c:pt idx="61">
                  <c:v>25.82519570655975</c:v>
                </c:pt>
                <c:pt idx="62">
                  <c:v>152.58682349201339</c:v>
                </c:pt>
                <c:pt idx="63">
                  <c:v>-259.27435792906607</c:v>
                </c:pt>
                <c:pt idx="64">
                  <c:v>-208.92292325620033</c:v>
                </c:pt>
                <c:pt idx="65">
                  <c:v>234.10827507722286</c:v>
                </c:pt>
                <c:pt idx="66">
                  <c:v>146.57589106928276</c:v>
                </c:pt>
                <c:pt idx="67">
                  <c:v>21.579283887468392</c:v>
                </c:pt>
                <c:pt idx="68">
                  <c:v>48.516662689890317</c:v>
                </c:pt>
                <c:pt idx="69">
                  <c:v>242.14202561117614</c:v>
                </c:pt>
                <c:pt idx="70">
                  <c:v>4.6544100535250097</c:v>
                </c:pt>
                <c:pt idx="71">
                  <c:v>-163.99905385161205</c:v>
                </c:pt>
                <c:pt idx="72">
                  <c:v>-337.4358138397576</c:v>
                </c:pt>
                <c:pt idx="73">
                  <c:v>6.516249898183224</c:v>
                </c:pt>
                <c:pt idx="74">
                  <c:v>206.60497766432567</c:v>
                </c:pt>
                <c:pt idx="75">
                  <c:v>114.34429461398945</c:v>
                </c:pt>
                <c:pt idx="76">
                  <c:v>94.516481799719855</c:v>
                </c:pt>
                <c:pt idx="77">
                  <c:v>-69.215038540191557</c:v>
                </c:pt>
                <c:pt idx="78">
                  <c:v>-118.58336649423073</c:v>
                </c:pt>
                <c:pt idx="79">
                  <c:v>-0.79592486469204893</c:v>
                </c:pt>
                <c:pt idx="80">
                  <c:v>-113.49915479352923</c:v>
                </c:pt>
                <c:pt idx="81">
                  <c:v>-269.48830288501205</c:v>
                </c:pt>
                <c:pt idx="82">
                  <c:v>145.01018329938864</c:v>
                </c:pt>
                <c:pt idx="83">
                  <c:v>218.34409116264317</c:v>
                </c:pt>
                <c:pt idx="84">
                  <c:v>159.96236179722308</c:v>
                </c:pt>
                <c:pt idx="85">
                  <c:v>-84.611734935948505</c:v>
                </c:pt>
                <c:pt idx="86">
                  <c:v>227.20247295208728</c:v>
                </c:pt>
                <c:pt idx="87">
                  <c:v>-18.581604211830992</c:v>
                </c:pt>
                <c:pt idx="88">
                  <c:v>48.539949148626093</c:v>
                </c:pt>
                <c:pt idx="89">
                  <c:v>244.28743235117255</c:v>
                </c:pt>
                <c:pt idx="90">
                  <c:v>153.9372409709884</c:v>
                </c:pt>
                <c:pt idx="91">
                  <c:v>-196.19680048294597</c:v>
                </c:pt>
                <c:pt idx="92">
                  <c:v>-213.48747591522192</c:v>
                </c:pt>
                <c:pt idx="93">
                  <c:v>-98.848069738481058</c:v>
                </c:pt>
                <c:pt idx="94">
                  <c:v>-77.653149266608068</c:v>
                </c:pt>
                <c:pt idx="95">
                  <c:v>227.6559865092735</c:v>
                </c:pt>
                <c:pt idx="96">
                  <c:v>-188.20773135493874</c:v>
                </c:pt>
                <c:pt idx="97">
                  <c:v>-68.406982229910724</c:v>
                </c:pt>
                <c:pt idx="98">
                  <c:v>-20.485345099274415</c:v>
                </c:pt>
                <c:pt idx="99">
                  <c:v>39.240307644011928</c:v>
                </c:pt>
                <c:pt idx="100">
                  <c:v>172.00154261473162</c:v>
                </c:pt>
                <c:pt idx="101">
                  <c:v>-71.467412413579154</c:v>
                </c:pt>
                <c:pt idx="102">
                  <c:v>-38.992435467519307</c:v>
                </c:pt>
                <c:pt idx="103">
                  <c:v>-271.5475809035554</c:v>
                </c:pt>
                <c:pt idx="104">
                  <c:v>72.365805168985361</c:v>
                </c:pt>
                <c:pt idx="105">
                  <c:v>166.56240225211099</c:v>
                </c:pt>
                <c:pt idx="106">
                  <c:v>232.94890399450088</c:v>
                </c:pt>
                <c:pt idx="107">
                  <c:v>98.313544581411179</c:v>
                </c:pt>
                <c:pt idx="108">
                  <c:v>94.389092815942277</c:v>
                </c:pt>
                <c:pt idx="109">
                  <c:v>-13.502362913511229</c:v>
                </c:pt>
                <c:pt idx="110">
                  <c:v>140.52215072849643</c:v>
                </c:pt>
                <c:pt idx="111">
                  <c:v>-110.67075450534627</c:v>
                </c:pt>
                <c:pt idx="112">
                  <c:v>-164.17116363912675</c:v>
                </c:pt>
                <c:pt idx="113">
                  <c:v>298.62852086712871</c:v>
                </c:pt>
                <c:pt idx="114">
                  <c:v>-194.69292640757794</c:v>
                </c:pt>
                <c:pt idx="115">
                  <c:v>-52.138431313282929</c:v>
                </c:pt>
                <c:pt idx="116">
                  <c:v>4.5317220543799781</c:v>
                </c:pt>
                <c:pt idx="117">
                  <c:v>-89.15644288653543</c:v>
                </c:pt>
                <c:pt idx="118">
                  <c:v>278.53915104822676</c:v>
                </c:pt>
                <c:pt idx="119">
                  <c:v>-170.27047389437305</c:v>
                </c:pt>
                <c:pt idx="120">
                  <c:v>65.863333582815315</c:v>
                </c:pt>
                <c:pt idx="121">
                  <c:v>87.543586319461241</c:v>
                </c:pt>
                <c:pt idx="122">
                  <c:v>-71.732795337369325</c:v>
                </c:pt>
                <c:pt idx="123">
                  <c:v>-112.5887864591194</c:v>
                </c:pt>
                <c:pt idx="124">
                  <c:v>-66.174792728379444</c:v>
                </c:pt>
                <c:pt idx="125">
                  <c:v>45.430453547361246</c:v>
                </c:pt>
                <c:pt idx="126">
                  <c:v>-227.67753426779288</c:v>
                </c:pt>
                <c:pt idx="127">
                  <c:v>95.113906573598911</c:v>
                </c:pt>
                <c:pt idx="128">
                  <c:v>-33.864388516894415</c:v>
                </c:pt>
                <c:pt idx="129">
                  <c:v>26.099639210870428</c:v>
                </c:pt>
                <c:pt idx="130">
                  <c:v>-189.28431755964056</c:v>
                </c:pt>
                <c:pt idx="131">
                  <c:v>-61.383489415282554</c:v>
                </c:pt>
                <c:pt idx="132">
                  <c:v>-129.1351135910725</c:v>
                </c:pt>
                <c:pt idx="133">
                  <c:v>10.351966873705642</c:v>
                </c:pt>
                <c:pt idx="134">
                  <c:v>-117.62810183693126</c:v>
                </c:pt>
                <c:pt idx="135">
                  <c:v>-82.040451628625917</c:v>
                </c:pt>
                <c:pt idx="136">
                  <c:v>-66.230580539655833</c:v>
                </c:pt>
                <c:pt idx="137">
                  <c:v>1.6350555918904959</c:v>
                </c:pt>
                <c:pt idx="138">
                  <c:v>-34.45447087776904</c:v>
                </c:pt>
                <c:pt idx="139">
                  <c:v>-293.86927883803372</c:v>
                </c:pt>
                <c:pt idx="140">
                  <c:v>239.84175389433702</c:v>
                </c:pt>
                <c:pt idx="141">
                  <c:v>-54.694621695532518</c:v>
                </c:pt>
                <c:pt idx="142">
                  <c:v>-52.482505831389147</c:v>
                </c:pt>
                <c:pt idx="143">
                  <c:v>5.8279910082409305</c:v>
                </c:pt>
                <c:pt idx="144">
                  <c:v>1.6648630650132814</c:v>
                </c:pt>
                <c:pt idx="145">
                  <c:v>-42.635010867747106</c:v>
                </c:pt>
                <c:pt idx="146">
                  <c:v>77.969475779693624</c:v>
                </c:pt>
                <c:pt idx="147">
                  <c:v>134.20621931260303</c:v>
                </c:pt>
                <c:pt idx="148">
                  <c:v>54.52917717913278</c:v>
                </c:pt>
                <c:pt idx="149">
                  <c:v>57.452662243080674</c:v>
                </c:pt>
                <c:pt idx="150">
                  <c:v>-20.270818130219737</c:v>
                </c:pt>
                <c:pt idx="151">
                  <c:v>-204.36869104749337</c:v>
                </c:pt>
                <c:pt idx="152">
                  <c:v>117.74325429272356</c:v>
                </c:pt>
                <c:pt idx="153">
                  <c:v>1.6350555918904959</c:v>
                </c:pt>
                <c:pt idx="154">
                  <c:v>22.838499184338946</c:v>
                </c:pt>
                <c:pt idx="155">
                  <c:v>212.35829474692568</c:v>
                </c:pt>
                <c:pt idx="156">
                  <c:v>-90.220718543578357</c:v>
                </c:pt>
                <c:pt idx="157">
                  <c:v>132.73984579921964</c:v>
                </c:pt>
                <c:pt idx="158">
                  <c:v>194.0763834762283</c:v>
                </c:pt>
                <c:pt idx="159">
                  <c:v>21.776326022709249</c:v>
                </c:pt>
                <c:pt idx="160">
                  <c:v>28.693291973633546</c:v>
                </c:pt>
                <c:pt idx="161">
                  <c:v>-53.796974894745766</c:v>
                </c:pt>
                <c:pt idx="162">
                  <c:v>119.40528464679146</c:v>
                </c:pt>
                <c:pt idx="163">
                  <c:v>181.52938506920808</c:v>
                </c:pt>
                <c:pt idx="164">
                  <c:v>-27.303754266210916</c:v>
                </c:pt>
                <c:pt idx="165">
                  <c:v>27.229407760380525</c:v>
                </c:pt>
                <c:pt idx="166">
                  <c:v>80.2821128451384</c:v>
                </c:pt>
                <c:pt idx="167">
                  <c:v>-258.6206896551717</c:v>
                </c:pt>
                <c:pt idx="168">
                  <c:v>0.76964519356506622</c:v>
                </c:pt>
                <c:pt idx="169">
                  <c:v>27.630670043749607</c:v>
                </c:pt>
                <c:pt idx="170">
                  <c:v>71.629962660975877</c:v>
                </c:pt>
                <c:pt idx="171">
                  <c:v>-59.793024147182486</c:v>
                </c:pt>
                <c:pt idx="172">
                  <c:v>-21.510332641929434</c:v>
                </c:pt>
                <c:pt idx="173">
                  <c:v>-3.84260682446972</c:v>
                </c:pt>
                <c:pt idx="174">
                  <c:v>-149.76599063962595</c:v>
                </c:pt>
                <c:pt idx="175">
                  <c:v>98.856966326845495</c:v>
                </c:pt>
                <c:pt idx="176">
                  <c:v>-59.04288377874385</c:v>
                </c:pt>
                <c:pt idx="177">
                  <c:v>47.166164076393024</c:v>
                </c:pt>
                <c:pt idx="178">
                  <c:v>-92.867176525673983</c:v>
                </c:pt>
                <c:pt idx="179">
                  <c:v>60.502637294445819</c:v>
                </c:pt>
                <c:pt idx="180">
                  <c:v>210.34247095451471</c:v>
                </c:pt>
                <c:pt idx="181">
                  <c:v>258.17428613700156</c:v>
                </c:pt>
                <c:pt idx="182">
                  <c:v>-10.36729857819804</c:v>
                </c:pt>
                <c:pt idx="183">
                  <c:v>394.76491926879572</c:v>
                </c:pt>
                <c:pt idx="184">
                  <c:v>96.506058044518312</c:v>
                </c:pt>
                <c:pt idx="185">
                  <c:v>-94.574415131906093</c:v>
                </c:pt>
                <c:pt idx="186">
                  <c:v>86.006344730349284</c:v>
                </c:pt>
                <c:pt idx="187">
                  <c:v>102.56768071448536</c:v>
                </c:pt>
                <c:pt idx="188">
                  <c:v>-51.195736026368991</c:v>
                </c:pt>
                <c:pt idx="189">
                  <c:v>216.80960548885017</c:v>
                </c:pt>
                <c:pt idx="190">
                  <c:v>338.08418959231022</c:v>
                </c:pt>
                <c:pt idx="191">
                  <c:v>99.10737726437327</c:v>
                </c:pt>
                <c:pt idx="192">
                  <c:v>91.050988553590017</c:v>
                </c:pt>
                <c:pt idx="193">
                  <c:v>-53.615797044591453</c:v>
                </c:pt>
                <c:pt idx="194">
                  <c:v>-91.718904651930643</c:v>
                </c:pt>
                <c:pt idx="195">
                  <c:v>-106.702234078026</c:v>
                </c:pt>
                <c:pt idx="196">
                  <c:v>102.96350075902521</c:v>
                </c:pt>
                <c:pt idx="197">
                  <c:v>-13.217897032582119</c:v>
                </c:pt>
                <c:pt idx="198">
                  <c:v>43.429624267948519</c:v>
                </c:pt>
                <c:pt idx="199">
                  <c:v>-161.81878970244097</c:v>
                </c:pt>
                <c:pt idx="200">
                  <c:v>36.64223850766156</c:v>
                </c:pt>
                <c:pt idx="201">
                  <c:v>74.720624214771902</c:v>
                </c:pt>
                <c:pt idx="202">
                  <c:v>40.829766216661476</c:v>
                </c:pt>
                <c:pt idx="203">
                  <c:v>-331.33759695196659</c:v>
                </c:pt>
                <c:pt idx="204">
                  <c:v>37.955808594280441</c:v>
                </c:pt>
                <c:pt idx="205">
                  <c:v>-33.321999319959815</c:v>
                </c:pt>
                <c:pt idx="206">
                  <c:v>51.417360124483523</c:v>
                </c:pt>
                <c:pt idx="207">
                  <c:v>-50.316175970625295</c:v>
                </c:pt>
                <c:pt idx="208">
                  <c:v>108.951509852714</c:v>
                </c:pt>
                <c:pt idx="209">
                  <c:v>-2.0180277142484995</c:v>
                </c:pt>
                <c:pt idx="210">
                  <c:v>246.04684731972969</c:v>
                </c:pt>
                <c:pt idx="211">
                  <c:v>221.97985500737883</c:v>
                </c:pt>
                <c:pt idx="212">
                  <c:v>49.157303370786806</c:v>
                </c:pt>
                <c:pt idx="213">
                  <c:v>0.63836578359341878</c:v>
                </c:pt>
                <c:pt idx="214">
                  <c:v>74.135090609555476</c:v>
                </c:pt>
                <c:pt idx="215">
                  <c:v>97.879282218596501</c:v>
                </c:pt>
                <c:pt idx="216">
                  <c:v>-92.451874366767413</c:v>
                </c:pt>
                <c:pt idx="217">
                  <c:v>79.778880582951473</c:v>
                </c:pt>
                <c:pt idx="218">
                  <c:v>378.94355131149416</c:v>
                </c:pt>
                <c:pt idx="219">
                  <c:v>-526.78457819060918</c:v>
                </c:pt>
                <c:pt idx="220">
                  <c:v>622.27790704611868</c:v>
                </c:pt>
                <c:pt idx="221">
                  <c:v>-1030.602171767028</c:v>
                </c:pt>
                <c:pt idx="222">
                  <c:v>-211.00732477656132</c:v>
                </c:pt>
                <c:pt idx="223">
                  <c:v>1003.5668943836527</c:v>
                </c:pt>
                <c:pt idx="224">
                  <c:v>-52.26374962017568</c:v>
                </c:pt>
                <c:pt idx="225">
                  <c:v>608.41276182866238</c:v>
                </c:pt>
                <c:pt idx="226">
                  <c:v>-305.86436091994591</c:v>
                </c:pt>
                <c:pt idx="227">
                  <c:v>227.62545266425326</c:v>
                </c:pt>
                <c:pt idx="228">
                  <c:v>-190.37019681349577</c:v>
                </c:pt>
                <c:pt idx="229">
                  <c:v>112.35955056179696</c:v>
                </c:pt>
                <c:pt idx="230">
                  <c:v>234.16289592760231</c:v>
                </c:pt>
                <c:pt idx="231">
                  <c:v>-82.691759338465914</c:v>
                </c:pt>
                <c:pt idx="232">
                  <c:v>40.892826716647043</c:v>
                </c:pt>
                <c:pt idx="233">
                  <c:v>-393.12909509474139</c:v>
                </c:pt>
                <c:pt idx="234">
                  <c:v>298.36215782842822</c:v>
                </c:pt>
                <c:pt idx="235">
                  <c:v>84.043157296990088</c:v>
                </c:pt>
                <c:pt idx="236">
                  <c:v>160.91183372443825</c:v>
                </c:pt>
                <c:pt idx="237">
                  <c:v>62.187673514714305</c:v>
                </c:pt>
                <c:pt idx="238">
                  <c:v>4.9947277873360942</c:v>
                </c:pt>
                <c:pt idx="239">
                  <c:v>75.457149151794553</c:v>
                </c:pt>
                <c:pt idx="240">
                  <c:v>29.106485803724436</c:v>
                </c:pt>
                <c:pt idx="241">
                  <c:v>466.99125700225022</c:v>
                </c:pt>
                <c:pt idx="242">
                  <c:v>381.69092099300155</c:v>
                </c:pt>
                <c:pt idx="243">
                  <c:v>207.59368836291873</c:v>
                </c:pt>
                <c:pt idx="244">
                  <c:v>-401.06677607959813</c:v>
                </c:pt>
                <c:pt idx="245">
                  <c:v>-14.381099126861605</c:v>
                </c:pt>
                <c:pt idx="246">
                  <c:v>141.27297584687878</c:v>
                </c:pt>
                <c:pt idx="247">
                  <c:v>-209.8950524737638</c:v>
                </c:pt>
                <c:pt idx="248">
                  <c:v>69.818779198111486</c:v>
                </c:pt>
                <c:pt idx="249">
                  <c:v>72.371438764588035</c:v>
                </c:pt>
                <c:pt idx="250">
                  <c:v>-513.31511546910974</c:v>
                </c:pt>
                <c:pt idx="251">
                  <c:v>252.78111453491454</c:v>
                </c:pt>
                <c:pt idx="252">
                  <c:v>97.745138601571497</c:v>
                </c:pt>
                <c:pt idx="253">
                  <c:v>-102.40334378265365</c:v>
                </c:pt>
                <c:pt idx="254">
                  <c:v>-6.7966748575310003</c:v>
                </c:pt>
                <c:pt idx="255">
                  <c:v>-135.12081390419669</c:v>
                </c:pt>
                <c:pt idx="256">
                  <c:v>367.00525751620575</c:v>
                </c:pt>
                <c:pt idx="257">
                  <c:v>-349.18119387216018</c:v>
                </c:pt>
                <c:pt idx="258">
                  <c:v>-78.798849962730031</c:v>
                </c:pt>
                <c:pt idx="259">
                  <c:v>-480.44193962390568</c:v>
                </c:pt>
                <c:pt idx="260">
                  <c:v>281.45336225596577</c:v>
                </c:pt>
                <c:pt idx="261">
                  <c:v>19.484736956050604</c:v>
                </c:pt>
                <c:pt idx="262">
                  <c:v>239.83095615425302</c:v>
                </c:pt>
                <c:pt idx="263">
                  <c:v>-29.670446116350053</c:v>
                </c:pt>
                <c:pt idx="264">
                  <c:v>64.224047167823855</c:v>
                </c:pt>
                <c:pt idx="265">
                  <c:v>-325.59656465728028</c:v>
                </c:pt>
                <c:pt idx="266">
                  <c:v>-32.720728581556422</c:v>
                </c:pt>
                <c:pt idx="267">
                  <c:v>140.8677885907847</c:v>
                </c:pt>
                <c:pt idx="268">
                  <c:v>-38.862201111890997</c:v>
                </c:pt>
                <c:pt idx="269">
                  <c:v>-204.34016303150551</c:v>
                </c:pt>
                <c:pt idx="270">
                  <c:v>56.955093099671913</c:v>
                </c:pt>
                <c:pt idx="271">
                  <c:v>-256.69830927371817</c:v>
                </c:pt>
                <c:pt idx="272">
                  <c:v>-281.24278124278152</c:v>
                </c:pt>
                <c:pt idx="273">
                  <c:v>-176.30465444287728</c:v>
                </c:pt>
                <c:pt idx="274">
                  <c:v>120.76172782164527</c:v>
                </c:pt>
                <c:pt idx="275">
                  <c:v>123.28688571592407</c:v>
                </c:pt>
                <c:pt idx="276">
                  <c:v>-53.035106934916968</c:v>
                </c:pt>
                <c:pt idx="277">
                  <c:v>-25.429116338207773</c:v>
                </c:pt>
                <c:pt idx="278">
                  <c:v>94.458438287153655</c:v>
                </c:pt>
                <c:pt idx="279">
                  <c:v>198.63090562226512</c:v>
                </c:pt>
                <c:pt idx="280">
                  <c:v>-12.922074273835355</c:v>
                </c:pt>
                <c:pt idx="281">
                  <c:v>-57.068595321506031</c:v>
                </c:pt>
                <c:pt idx="282">
                  <c:v>347.4229615489503</c:v>
                </c:pt>
                <c:pt idx="283">
                  <c:v>35.326086956521742</c:v>
                </c:pt>
                <c:pt idx="284">
                  <c:v>207.03603172068813</c:v>
                </c:pt>
                <c:pt idx="285">
                  <c:v>146.83517751324138</c:v>
                </c:pt>
                <c:pt idx="286">
                  <c:v>-69.173091139508585</c:v>
                </c:pt>
                <c:pt idx="287">
                  <c:v>-64.303555295742726</c:v>
                </c:pt>
                <c:pt idx="288">
                  <c:v>-625.67056299056935</c:v>
                </c:pt>
                <c:pt idx="289">
                  <c:v>50.005618608831689</c:v>
                </c:pt>
                <c:pt idx="290">
                  <c:v>30.24871162894965</c:v>
                </c:pt>
                <c:pt idx="291">
                  <c:v>148.44655372220001</c:v>
                </c:pt>
                <c:pt idx="292">
                  <c:v>25.32063631860041</c:v>
                </c:pt>
                <c:pt idx="293">
                  <c:v>-72.632512752273996</c:v>
                </c:pt>
                <c:pt idx="294">
                  <c:v>74.840413823465425</c:v>
                </c:pt>
                <c:pt idx="295">
                  <c:v>-306.84589643242094</c:v>
                </c:pt>
                <c:pt idx="296">
                  <c:v>84.917332133619027</c:v>
                </c:pt>
                <c:pt idx="297">
                  <c:v>32.511210762331579</c:v>
                </c:pt>
                <c:pt idx="298">
                  <c:v>195.10854630392964</c:v>
                </c:pt>
                <c:pt idx="299">
                  <c:v>77.439057643017094</c:v>
                </c:pt>
                <c:pt idx="300">
                  <c:v>-232.1299034652092</c:v>
                </c:pt>
                <c:pt idx="301">
                  <c:v>-232.38552015530325</c:v>
                </c:pt>
                <c:pt idx="302">
                  <c:v>1.7126220243189734</c:v>
                </c:pt>
                <c:pt idx="303">
                  <c:v>47.724561104481928</c:v>
                </c:pt>
                <c:pt idx="304">
                  <c:v>-3.9786290780937712</c:v>
                </c:pt>
                <c:pt idx="305">
                  <c:v>61.010055360975898</c:v>
                </c:pt>
                <c:pt idx="306">
                  <c:v>156.25868876160771</c:v>
                </c:pt>
                <c:pt idx="307">
                  <c:v>-69.432778990984161</c:v>
                </c:pt>
                <c:pt idx="308">
                  <c:v>181.96811434854263</c:v>
                </c:pt>
                <c:pt idx="309">
                  <c:v>276.88689330767562</c:v>
                </c:pt>
                <c:pt idx="310">
                  <c:v>-88.98236531305615</c:v>
                </c:pt>
                <c:pt idx="311">
                  <c:v>-370.22537889379817</c:v>
                </c:pt>
                <c:pt idx="312">
                  <c:v>-12.879381789673841</c:v>
                </c:pt>
                <c:pt idx="313">
                  <c:v>6.7151650811418326</c:v>
                </c:pt>
                <c:pt idx="314">
                  <c:v>112.32224865821921</c:v>
                </c:pt>
                <c:pt idx="315">
                  <c:v>36.934950385887788</c:v>
                </c:pt>
                <c:pt idx="316">
                  <c:v>92.845439650464229</c:v>
                </c:pt>
                <c:pt idx="317">
                  <c:v>-172.78737707650376</c:v>
                </c:pt>
                <c:pt idx="318">
                  <c:v>105.0027487630561</c:v>
                </c:pt>
                <c:pt idx="319">
                  <c:v>82.329207785834527</c:v>
                </c:pt>
                <c:pt idx="320">
                  <c:v>-250.37724249706565</c:v>
                </c:pt>
                <c:pt idx="321">
                  <c:v>118.73205213165451</c:v>
                </c:pt>
                <c:pt idx="322">
                  <c:v>188.02492549444619</c:v>
                </c:pt>
                <c:pt idx="323">
                  <c:v>302.66407440491781</c:v>
                </c:pt>
                <c:pt idx="324">
                  <c:v>-65.051829913263987</c:v>
                </c:pt>
                <c:pt idx="325">
                  <c:v>401.54322554444457</c:v>
                </c:pt>
                <c:pt idx="326">
                  <c:v>98.019503367849595</c:v>
                </c:pt>
                <c:pt idx="327">
                  <c:v>-286.98484926831787</c:v>
                </c:pt>
                <c:pt idx="328">
                  <c:v>132.15634248392624</c:v>
                </c:pt>
                <c:pt idx="329">
                  <c:v>-158.61496993572416</c:v>
                </c:pt>
                <c:pt idx="330">
                  <c:v>117.81579756172522</c:v>
                </c:pt>
                <c:pt idx="331">
                  <c:v>148.36495761001143</c:v>
                </c:pt>
                <c:pt idx="332">
                  <c:v>-207.06706500463491</c:v>
                </c:pt>
                <c:pt idx="333">
                  <c:v>-118.83665172521727</c:v>
                </c:pt>
                <c:pt idx="334">
                  <c:v>-150.24865093640813</c:v>
                </c:pt>
                <c:pt idx="335">
                  <c:v>-415.47277936962797</c:v>
                </c:pt>
                <c:pt idx="336">
                  <c:v>181.77883574983844</c:v>
                </c:pt>
                <c:pt idx="337">
                  <c:v>89.008042895441875</c:v>
                </c:pt>
                <c:pt idx="338">
                  <c:v>-36.054458375935241</c:v>
                </c:pt>
                <c:pt idx="339">
                  <c:v>135.88831678963925</c:v>
                </c:pt>
                <c:pt idx="340">
                  <c:v>-185.44550173010481</c:v>
                </c:pt>
                <c:pt idx="341">
                  <c:v>-55.999565051921685</c:v>
                </c:pt>
                <c:pt idx="342">
                  <c:v>-159.6332302253638</c:v>
                </c:pt>
                <c:pt idx="343">
                  <c:v>-339.82523273744931</c:v>
                </c:pt>
                <c:pt idx="344">
                  <c:v>-229.60972189764072</c:v>
                </c:pt>
                <c:pt idx="345">
                  <c:v>134.87031700288236</c:v>
                </c:pt>
                <c:pt idx="346">
                  <c:v>262.6557413851159</c:v>
                </c:pt>
                <c:pt idx="347">
                  <c:v>52.478785171952268</c:v>
                </c:pt>
                <c:pt idx="348">
                  <c:v>133.84742495180367</c:v>
                </c:pt>
                <c:pt idx="349">
                  <c:v>-298.37200068069603</c:v>
                </c:pt>
                <c:pt idx="350">
                  <c:v>-74.865698937022159</c:v>
                </c:pt>
                <c:pt idx="351">
                  <c:v>-157.90084755602024</c:v>
                </c:pt>
                <c:pt idx="352">
                  <c:v>34.710170079833389</c:v>
                </c:pt>
                <c:pt idx="353">
                  <c:v>-267.89426789426733</c:v>
                </c:pt>
                <c:pt idx="354">
                  <c:v>-168.51896593380101</c:v>
                </c:pt>
                <c:pt idx="355">
                  <c:v>173.8975606860952</c:v>
                </c:pt>
                <c:pt idx="356">
                  <c:v>219.9907127931267</c:v>
                </c:pt>
                <c:pt idx="357">
                  <c:v>-360.83714216983395</c:v>
                </c:pt>
                <c:pt idx="358">
                  <c:v>44.306071129206629</c:v>
                </c:pt>
                <c:pt idx="359">
                  <c:v>-66.903742993189908</c:v>
                </c:pt>
                <c:pt idx="360">
                  <c:v>186.32438187625698</c:v>
                </c:pt>
                <c:pt idx="361">
                  <c:v>520.88589851415804</c:v>
                </c:pt>
                <c:pt idx="362">
                  <c:v>-81.967213114754102</c:v>
                </c:pt>
                <c:pt idx="363">
                  <c:v>-1.1307100859342236</c:v>
                </c:pt>
                <c:pt idx="364">
                  <c:v>306.35172905135136</c:v>
                </c:pt>
                <c:pt idx="365">
                  <c:v>6.5721014294323101</c:v>
                </c:pt>
                <c:pt idx="366">
                  <c:v>-56.73055739149693</c:v>
                </c:pt>
                <c:pt idx="367">
                  <c:v>23.079459281239949</c:v>
                </c:pt>
                <c:pt idx="368">
                  <c:v>121.59374660731783</c:v>
                </c:pt>
                <c:pt idx="369">
                  <c:v>-87.613623918519323</c:v>
                </c:pt>
                <c:pt idx="370">
                  <c:v>316.5597327535927</c:v>
                </c:pt>
                <c:pt idx="371">
                  <c:v>-86.644916296732333</c:v>
                </c:pt>
                <c:pt idx="372">
                  <c:v>354.91359298426596</c:v>
                </c:pt>
                <c:pt idx="373">
                  <c:v>32.90657617358265</c:v>
                </c:pt>
                <c:pt idx="374">
                  <c:v>3.597861842104328</c:v>
                </c:pt>
                <c:pt idx="375">
                  <c:v>-276.23725769819873</c:v>
                </c:pt>
                <c:pt idx="376">
                  <c:v>-11.104060913705103</c:v>
                </c:pt>
                <c:pt idx="377">
                  <c:v>-130.16230114092858</c:v>
                </c:pt>
                <c:pt idx="378">
                  <c:v>-179.94438082774414</c:v>
                </c:pt>
                <c:pt idx="379">
                  <c:v>200.38473869830074</c:v>
                </c:pt>
                <c:pt idx="380">
                  <c:v>66.878980891719266</c:v>
                </c:pt>
                <c:pt idx="381">
                  <c:v>533.61471208923751</c:v>
                </c:pt>
                <c:pt idx="382">
                  <c:v>57.4511665084678</c:v>
                </c:pt>
                <c:pt idx="383">
                  <c:v>11.975450326829318</c:v>
                </c:pt>
                <c:pt idx="384">
                  <c:v>197.12385051849043</c:v>
                </c:pt>
                <c:pt idx="385">
                  <c:v>-49.154541879669679</c:v>
                </c:pt>
                <c:pt idx="386">
                  <c:v>-125.42305395182186</c:v>
                </c:pt>
                <c:pt idx="387">
                  <c:v>45.087449834018287</c:v>
                </c:pt>
                <c:pt idx="388">
                  <c:v>126.69993151355096</c:v>
                </c:pt>
                <c:pt idx="389">
                  <c:v>-25.011034279830007</c:v>
                </c:pt>
                <c:pt idx="390">
                  <c:v>-193.97090436434513</c:v>
                </c:pt>
                <c:pt idx="391">
                  <c:v>-189.49620498191661</c:v>
                </c:pt>
                <c:pt idx="392">
                  <c:v>130.71238248454077</c:v>
                </c:pt>
                <c:pt idx="393">
                  <c:v>38.561698717948943</c:v>
                </c:pt>
                <c:pt idx="394">
                  <c:v>-30.642487567186961</c:v>
                </c:pt>
                <c:pt idx="395">
                  <c:v>-214.47996305608271</c:v>
                </c:pt>
                <c:pt idx="396">
                  <c:v>-2.0528611752634895</c:v>
                </c:pt>
                <c:pt idx="397">
                  <c:v>15.884402541503942</c:v>
                </c:pt>
                <c:pt idx="398">
                  <c:v>160.3307451850367</c:v>
                </c:pt>
                <c:pt idx="399">
                  <c:v>12.085809245643386</c:v>
                </c:pt>
                <c:pt idx="400">
                  <c:v>70.503525176259501</c:v>
                </c:pt>
                <c:pt idx="401">
                  <c:v>-120.43924902585994</c:v>
                </c:pt>
                <c:pt idx="402">
                  <c:v>-151.54628583170657</c:v>
                </c:pt>
                <c:pt idx="403">
                  <c:v>-157.05713540307804</c:v>
                </c:pt>
                <c:pt idx="404">
                  <c:v>120.62477447291144</c:v>
                </c:pt>
                <c:pt idx="405">
                  <c:v>138.27461745716954</c:v>
                </c:pt>
                <c:pt idx="406">
                  <c:v>-125.5983939877483</c:v>
                </c:pt>
                <c:pt idx="407">
                  <c:v>17.983763230911521</c:v>
                </c:pt>
                <c:pt idx="408">
                  <c:v>-3.0838815789480698</c:v>
                </c:pt>
                <c:pt idx="409">
                  <c:v>-319.29564018245367</c:v>
                </c:pt>
                <c:pt idx="410">
                  <c:v>-112.63677322462991</c:v>
                </c:pt>
                <c:pt idx="411">
                  <c:v>493.09061241140091</c:v>
                </c:pt>
                <c:pt idx="412">
                  <c:v>265.07818317200338</c:v>
                </c:pt>
                <c:pt idx="413">
                  <c:v>20.805468866102171</c:v>
                </c:pt>
                <c:pt idx="414">
                  <c:v>4.4563279857390752</c:v>
                </c:pt>
                <c:pt idx="415">
                  <c:v>-316.18736272156031</c:v>
                </c:pt>
                <c:pt idx="416">
                  <c:v>234.93615323224216</c:v>
                </c:pt>
                <c:pt idx="417">
                  <c:v>92.414133926365437</c:v>
                </c:pt>
                <c:pt idx="418">
                  <c:v>406.31519059358919</c:v>
                </c:pt>
                <c:pt idx="419">
                  <c:v>-370.22469147942246</c:v>
                </c:pt>
                <c:pt idx="420">
                  <c:v>103.63954846243541</c:v>
                </c:pt>
                <c:pt idx="421">
                  <c:v>160.85790884718671</c:v>
                </c:pt>
                <c:pt idx="422">
                  <c:v>14.341715269146189</c:v>
                </c:pt>
                <c:pt idx="423">
                  <c:v>-96.534414518775932</c:v>
                </c:pt>
                <c:pt idx="424">
                  <c:v>-107.32754415064885</c:v>
                </c:pt>
                <c:pt idx="425">
                  <c:v>96.149200367201232</c:v>
                </c:pt>
                <c:pt idx="426">
                  <c:v>8.2070097518599638</c:v>
                </c:pt>
                <c:pt idx="427">
                  <c:v>-111.2955188909508</c:v>
                </c:pt>
                <c:pt idx="428">
                  <c:v>-61.391876626884731</c:v>
                </c:pt>
                <c:pt idx="429">
                  <c:v>179.89775248384382</c:v>
                </c:pt>
                <c:pt idx="430">
                  <c:v>-71.893519867872257</c:v>
                </c:pt>
                <c:pt idx="431">
                  <c:v>-71.921326875090841</c:v>
                </c:pt>
                <c:pt idx="432">
                  <c:v>122.7468225970139</c:v>
                </c:pt>
                <c:pt idx="433">
                  <c:v>220.69943289224869</c:v>
                </c:pt>
                <c:pt idx="434">
                  <c:v>409.28250917826307</c:v>
                </c:pt>
                <c:pt idx="435">
                  <c:v>-106.27089918006629</c:v>
                </c:pt>
                <c:pt idx="436">
                  <c:v>-6.8756875687568764</c:v>
                </c:pt>
                <c:pt idx="437">
                  <c:v>340.06376195536745</c:v>
                </c:pt>
                <c:pt idx="438">
                  <c:v>457.19597735147397</c:v>
                </c:pt>
                <c:pt idx="439">
                  <c:v>123.94107582523171</c:v>
                </c:pt>
                <c:pt idx="440">
                  <c:v>163.37588768933838</c:v>
                </c:pt>
                <c:pt idx="441">
                  <c:v>-281.93981344700848</c:v>
                </c:pt>
                <c:pt idx="442">
                  <c:v>-166.05166051660635</c:v>
                </c:pt>
                <c:pt idx="443">
                  <c:v>279.85152437752811</c:v>
                </c:pt>
                <c:pt idx="444">
                  <c:v>174.9713161776769</c:v>
                </c:pt>
                <c:pt idx="445">
                  <c:v>-354.27892570749714</c:v>
                </c:pt>
                <c:pt idx="446">
                  <c:v>48.976145239602744</c:v>
                </c:pt>
                <c:pt idx="447">
                  <c:v>-89.027091497700169</c:v>
                </c:pt>
                <c:pt idx="448">
                  <c:v>102.44951304861158</c:v>
                </c:pt>
                <c:pt idx="449">
                  <c:v>-76.468838948128635</c:v>
                </c:pt>
                <c:pt idx="450">
                  <c:v>36.402116402116015</c:v>
                </c:pt>
                <c:pt idx="451">
                  <c:v>242.03874272025075</c:v>
                </c:pt>
                <c:pt idx="452">
                  <c:v>95.72509715688318</c:v>
                </c:pt>
                <c:pt idx="453">
                  <c:v>-88.732975650020634</c:v>
                </c:pt>
                <c:pt idx="454">
                  <c:v>-76.939072572260343</c:v>
                </c:pt>
                <c:pt idx="455">
                  <c:v>264.39387804680609</c:v>
                </c:pt>
                <c:pt idx="456">
                  <c:v>14.554863750302861</c:v>
                </c:pt>
                <c:pt idx="457">
                  <c:v>253.76310189928319</c:v>
                </c:pt>
                <c:pt idx="458">
                  <c:v>33.381769626516906</c:v>
                </c:pt>
                <c:pt idx="459">
                  <c:v>-73.983225193860875</c:v>
                </c:pt>
                <c:pt idx="460">
                  <c:v>-57.297469361770226</c:v>
                </c:pt>
                <c:pt idx="461">
                  <c:v>330.49901889115495</c:v>
                </c:pt>
                <c:pt idx="462">
                  <c:v>134.74531238138619</c:v>
                </c:pt>
                <c:pt idx="463">
                  <c:v>125.55751283685019</c:v>
                </c:pt>
                <c:pt idx="464">
                  <c:v>-1.1245220781157774</c:v>
                </c:pt>
                <c:pt idx="465">
                  <c:v>31.760266038934347</c:v>
                </c:pt>
                <c:pt idx="466">
                  <c:v>196.70329670329605</c:v>
                </c:pt>
                <c:pt idx="467">
                  <c:v>44.489825687403609</c:v>
                </c:pt>
                <c:pt idx="468">
                  <c:v>25.461952568019786</c:v>
                </c:pt>
                <c:pt idx="469">
                  <c:v>-155.14184397163123</c:v>
                </c:pt>
                <c:pt idx="470">
                  <c:v>-484.48936911815935</c:v>
                </c:pt>
                <c:pt idx="471">
                  <c:v>524.05592865793301</c:v>
                </c:pt>
                <c:pt idx="472">
                  <c:v>-163.74487131667323</c:v>
                </c:pt>
                <c:pt idx="473">
                  <c:v>-80.463227553015841</c:v>
                </c:pt>
                <c:pt idx="474">
                  <c:v>10.516826923077605</c:v>
                </c:pt>
                <c:pt idx="475">
                  <c:v>-113.58024691358059</c:v>
                </c:pt>
                <c:pt idx="476">
                  <c:v>-53.849679193400199</c:v>
                </c:pt>
                <c:pt idx="477">
                  <c:v>136.73861453271454</c:v>
                </c:pt>
                <c:pt idx="478">
                  <c:v>274.04286499358921</c:v>
                </c:pt>
                <c:pt idx="479">
                  <c:v>116.23696407879459</c:v>
                </c:pt>
                <c:pt idx="480">
                  <c:v>111.36176460056544</c:v>
                </c:pt>
                <c:pt idx="481">
                  <c:v>149.20634920634984</c:v>
                </c:pt>
                <c:pt idx="482">
                  <c:v>182.15819365563067</c:v>
                </c:pt>
                <c:pt idx="483">
                  <c:v>4.49998269237489</c:v>
                </c:pt>
                <c:pt idx="484">
                  <c:v>175.48036048291075</c:v>
                </c:pt>
                <c:pt idx="485">
                  <c:v>-322.97700544146039</c:v>
                </c:pt>
                <c:pt idx="486">
                  <c:v>320.77202759183143</c:v>
                </c:pt>
                <c:pt idx="487">
                  <c:v>237.84249983413991</c:v>
                </c:pt>
                <c:pt idx="488">
                  <c:v>65.579172845609122</c:v>
                </c:pt>
                <c:pt idx="489">
                  <c:v>256.23735670937344</c:v>
                </c:pt>
                <c:pt idx="490">
                  <c:v>-259.93279304210353</c:v>
                </c:pt>
                <c:pt idx="491">
                  <c:v>602.47678018575823</c:v>
                </c:pt>
                <c:pt idx="492">
                  <c:v>251.41097998973888</c:v>
                </c:pt>
                <c:pt idx="493">
                  <c:v>-90.756814374905389</c:v>
                </c:pt>
                <c:pt idx="494">
                  <c:v>-36.066876547361261</c:v>
                </c:pt>
                <c:pt idx="495">
                  <c:v>254.96678878861098</c:v>
                </c:pt>
                <c:pt idx="496">
                  <c:v>-490.90681832385599</c:v>
                </c:pt>
                <c:pt idx="497">
                  <c:v>529.99141834107763</c:v>
                </c:pt>
                <c:pt idx="498">
                  <c:v>-192.73692465464225</c:v>
                </c:pt>
                <c:pt idx="499">
                  <c:v>50.118543861228119</c:v>
                </c:pt>
                <c:pt idx="500">
                  <c:v>308.30982228556474</c:v>
                </c:pt>
                <c:pt idx="501">
                  <c:v>-197.84065966660677</c:v>
                </c:pt>
                <c:pt idx="502">
                  <c:v>-254.89718943910509</c:v>
                </c:pt>
                <c:pt idx="503">
                  <c:v>327.17429681063982</c:v>
                </c:pt>
                <c:pt idx="504">
                  <c:v>22.603845589314009</c:v>
                </c:pt>
                <c:pt idx="505">
                  <c:v>-16.466229527477754</c:v>
                </c:pt>
                <c:pt idx="506">
                  <c:v>-63.025210084034157</c:v>
                </c:pt>
                <c:pt idx="507">
                  <c:v>59.415259721160872</c:v>
                </c:pt>
                <c:pt idx="508">
                  <c:v>262.08002749692093</c:v>
                </c:pt>
                <c:pt idx="509">
                  <c:v>-360.24807857799959</c:v>
                </c:pt>
                <c:pt idx="510">
                  <c:v>105.40842092900374</c:v>
                </c:pt>
                <c:pt idx="511">
                  <c:v>313.69983788856894</c:v>
                </c:pt>
              </c:numCache>
            </c:numRef>
          </c:yVal>
          <c:smooth val="1"/>
          <c:extLst>
            <c:ext xmlns:c16="http://schemas.microsoft.com/office/drawing/2014/chart" uri="{C3380CC4-5D6E-409C-BE32-E72D297353CC}">
              <c16:uniqueId val="{00000000-FCF8-46AD-BAE0-ED93B1AC736E}"/>
            </c:ext>
          </c:extLst>
        </c:ser>
        <c:dLbls>
          <c:showLegendKey val="0"/>
          <c:showVal val="0"/>
          <c:showCatName val="0"/>
          <c:showSerName val="0"/>
          <c:showPercent val="0"/>
          <c:showBubbleSize val="0"/>
        </c:dLbls>
        <c:axId val="621948351"/>
        <c:axId val="621948831"/>
      </c:scatterChart>
      <c:valAx>
        <c:axId val="6219483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21948831"/>
        <c:crosses val="autoZero"/>
        <c:crossBetween val="midCat"/>
      </c:valAx>
      <c:valAx>
        <c:axId val="62194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Δ</a:t>
                </a:r>
                <a:r>
                  <a:rPr lang="en-US"/>
                  <a:t>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l-GR"/>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6219483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17</xdr:col>
      <xdr:colOff>183086</xdr:colOff>
      <xdr:row>3</xdr:row>
      <xdr:rowOff>42828</xdr:rowOff>
    </xdr:from>
    <xdr:to>
      <xdr:col>23</xdr:col>
      <xdr:colOff>156200</xdr:colOff>
      <xdr:row>18</xdr:row>
      <xdr:rowOff>52768</xdr:rowOff>
    </xdr:to>
    <xdr:graphicFrame macro="">
      <xdr:nvGraphicFramePr>
        <xdr:cNvPr id="2" name="Chart 1">
          <a:extLst>
            <a:ext uri="{FF2B5EF4-FFF2-40B4-BE49-F238E27FC236}">
              <a16:creationId xmlns:a16="http://schemas.microsoft.com/office/drawing/2014/main" id="{D6E2D9A5-EA3E-9279-0F01-DCF81D854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633304</xdr:colOff>
      <xdr:row>59</xdr:row>
      <xdr:rowOff>174762</xdr:rowOff>
    </xdr:from>
    <xdr:to>
      <xdr:col>121</xdr:col>
      <xdr:colOff>564285</xdr:colOff>
      <xdr:row>86</xdr:row>
      <xdr:rowOff>65103</xdr:rowOff>
    </xdr:to>
    <xdr:graphicFrame macro="">
      <xdr:nvGraphicFramePr>
        <xdr:cNvPr id="3" name="Chart 2">
          <a:extLst>
            <a:ext uri="{FF2B5EF4-FFF2-40B4-BE49-F238E27FC236}">
              <a16:creationId xmlns:a16="http://schemas.microsoft.com/office/drawing/2014/main" id="{F486E4F1-87C5-A63D-976D-8224EA4E1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619700</xdr:colOff>
      <xdr:row>90</xdr:row>
      <xdr:rowOff>850</xdr:rowOff>
    </xdr:from>
    <xdr:to>
      <xdr:col>121</xdr:col>
      <xdr:colOff>537073</xdr:colOff>
      <xdr:row>104</xdr:row>
      <xdr:rowOff>77050</xdr:rowOff>
    </xdr:to>
    <xdr:graphicFrame macro="">
      <xdr:nvGraphicFramePr>
        <xdr:cNvPr id="4" name="Chart 3">
          <a:extLst>
            <a:ext uri="{FF2B5EF4-FFF2-40B4-BE49-F238E27FC236}">
              <a16:creationId xmlns:a16="http://schemas.microsoft.com/office/drawing/2014/main" id="{D59599F6-4B4A-02FF-B9DC-CC1D713EE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602092</xdr:colOff>
      <xdr:row>116</xdr:row>
      <xdr:rowOff>2722</xdr:rowOff>
    </xdr:from>
    <xdr:to>
      <xdr:col>34</xdr:col>
      <xdr:colOff>603250</xdr:colOff>
      <xdr:row>137</xdr:row>
      <xdr:rowOff>155122</xdr:rowOff>
    </xdr:to>
    <xdr:graphicFrame macro="">
      <xdr:nvGraphicFramePr>
        <xdr:cNvPr id="5" name="Chart 4">
          <a:extLst>
            <a:ext uri="{FF2B5EF4-FFF2-40B4-BE49-F238E27FC236}">
              <a16:creationId xmlns:a16="http://schemas.microsoft.com/office/drawing/2014/main" id="{260634BC-2DAA-59CF-F6A5-02DECB1E9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133</xdr:col>
      <xdr:colOff>294409</xdr:colOff>
      <xdr:row>60</xdr:row>
      <xdr:rowOff>143719</xdr:rowOff>
    </xdr:from>
    <xdr:to>
      <xdr:col>177</xdr:col>
      <xdr:colOff>664152</xdr:colOff>
      <xdr:row>81</xdr:row>
      <xdr:rowOff>17318</xdr:rowOff>
    </xdr:to>
    <xdr:graphicFrame macro="">
      <xdr:nvGraphicFramePr>
        <xdr:cNvPr id="8" name="Chart 7">
          <a:extLst>
            <a:ext uri="{FF2B5EF4-FFF2-40B4-BE49-F238E27FC236}">
              <a16:creationId xmlns:a16="http://schemas.microsoft.com/office/drawing/2014/main" id="{42B49348-CDBE-4490-A3F8-79803F32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1329848</xdr:colOff>
      <xdr:row>255</xdr:row>
      <xdr:rowOff>165892</xdr:rowOff>
    </xdr:from>
    <xdr:to>
      <xdr:col>36</xdr:col>
      <xdr:colOff>401373</xdr:colOff>
      <xdr:row>268</xdr:row>
      <xdr:rowOff>94668</xdr:rowOff>
    </xdr:to>
    <xdr:graphicFrame macro="">
      <xdr:nvGraphicFramePr>
        <xdr:cNvPr id="6" name="Chart 5">
          <a:extLst>
            <a:ext uri="{FF2B5EF4-FFF2-40B4-BE49-F238E27FC236}">
              <a16:creationId xmlns:a16="http://schemas.microsoft.com/office/drawing/2014/main" id="{67BC7D08-6909-BD68-F5AF-0DE13D4DE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381000</xdr:colOff>
      <xdr:row>368</xdr:row>
      <xdr:rowOff>156882</xdr:rowOff>
    </xdr:from>
    <xdr:to>
      <xdr:col>23</xdr:col>
      <xdr:colOff>257736</xdr:colOff>
      <xdr:row>384</xdr:row>
      <xdr:rowOff>31377</xdr:rowOff>
    </xdr:to>
    <xdr:graphicFrame macro="">
      <xdr:nvGraphicFramePr>
        <xdr:cNvPr id="10" name="Chart 9">
          <a:extLst>
            <a:ext uri="{FF2B5EF4-FFF2-40B4-BE49-F238E27FC236}">
              <a16:creationId xmlns:a16="http://schemas.microsoft.com/office/drawing/2014/main" id="{AF24B1C0-D6CF-4E79-9329-817F687B0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549089</xdr:colOff>
      <xdr:row>369</xdr:row>
      <xdr:rowOff>1</xdr:rowOff>
    </xdr:from>
    <xdr:to>
      <xdr:col>29</xdr:col>
      <xdr:colOff>504265</xdr:colOff>
      <xdr:row>384</xdr:row>
      <xdr:rowOff>53790</xdr:rowOff>
    </xdr:to>
    <xdr:graphicFrame macro="">
      <xdr:nvGraphicFramePr>
        <xdr:cNvPr id="11" name="Chart 10">
          <a:extLst>
            <a:ext uri="{FF2B5EF4-FFF2-40B4-BE49-F238E27FC236}">
              <a16:creationId xmlns:a16="http://schemas.microsoft.com/office/drawing/2014/main" id="{81B4F88C-4453-4D26-AE60-EEF0E461B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734786</xdr:colOff>
      <xdr:row>35</xdr:row>
      <xdr:rowOff>97971</xdr:rowOff>
    </xdr:from>
    <xdr:to>
      <xdr:col>20</xdr:col>
      <xdr:colOff>680357</xdr:colOff>
      <xdr:row>51</xdr:row>
      <xdr:rowOff>10886</xdr:rowOff>
    </xdr:to>
    <xdr:graphicFrame macro="">
      <xdr:nvGraphicFramePr>
        <xdr:cNvPr id="15" name="Chart 14">
          <a:extLst>
            <a:ext uri="{FF2B5EF4-FFF2-40B4-BE49-F238E27FC236}">
              <a16:creationId xmlns:a16="http://schemas.microsoft.com/office/drawing/2014/main" id="{7114411E-EA75-B9AC-2A25-6C3C9CF3F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122</xdr:col>
      <xdr:colOff>176892</xdr:colOff>
      <xdr:row>60</xdr:row>
      <xdr:rowOff>111578</xdr:rowOff>
    </xdr:from>
    <xdr:to>
      <xdr:col>133</xdr:col>
      <xdr:colOff>190500</xdr:colOff>
      <xdr:row>87</xdr:row>
      <xdr:rowOff>0</xdr:rowOff>
    </xdr:to>
    <xdr:graphicFrame macro="">
      <xdr:nvGraphicFramePr>
        <xdr:cNvPr id="16" name="Chart 15">
          <a:extLst>
            <a:ext uri="{FF2B5EF4-FFF2-40B4-BE49-F238E27FC236}">
              <a16:creationId xmlns:a16="http://schemas.microsoft.com/office/drawing/2014/main" id="{A8974D1A-AE8D-4D20-90FD-05F8AE6DC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192900</xdr:colOff>
      <xdr:row>235</xdr:row>
      <xdr:rowOff>123265</xdr:rowOff>
    </xdr:from>
    <xdr:to>
      <xdr:col>26</xdr:col>
      <xdr:colOff>2250301</xdr:colOff>
      <xdr:row>251</xdr:row>
      <xdr:rowOff>21292</xdr:rowOff>
    </xdr:to>
    <xdr:graphicFrame macro="">
      <xdr:nvGraphicFramePr>
        <xdr:cNvPr id="22" name="Chart 21">
          <a:extLst>
            <a:ext uri="{FF2B5EF4-FFF2-40B4-BE49-F238E27FC236}">
              <a16:creationId xmlns:a16="http://schemas.microsoft.com/office/drawing/2014/main" id="{60C5E6DB-7E48-C95F-71F6-58267023B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61071</xdr:colOff>
      <xdr:row>272</xdr:row>
      <xdr:rowOff>0</xdr:rowOff>
    </xdr:from>
    <xdr:to>
      <xdr:col>26</xdr:col>
      <xdr:colOff>1436595</xdr:colOff>
      <xdr:row>349</xdr:row>
      <xdr:rowOff>149224</xdr:rowOff>
    </xdr:to>
    <xdr:graphicFrame macro="">
      <xdr:nvGraphicFramePr>
        <xdr:cNvPr id="23" name="Chart 22">
          <a:extLst>
            <a:ext uri="{FF2B5EF4-FFF2-40B4-BE49-F238E27FC236}">
              <a16:creationId xmlns:a16="http://schemas.microsoft.com/office/drawing/2014/main" id="{F8954FD3-4764-8119-4694-413D4BF8B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239981</xdr:colOff>
      <xdr:row>351</xdr:row>
      <xdr:rowOff>161058</xdr:rowOff>
    </xdr:from>
    <xdr:to>
      <xdr:col>21</xdr:col>
      <xdr:colOff>580159</xdr:colOff>
      <xdr:row>367</xdr:row>
      <xdr:rowOff>133349</xdr:rowOff>
    </xdr:to>
    <xdr:graphicFrame macro="">
      <xdr:nvGraphicFramePr>
        <xdr:cNvPr id="24" name="Chart 23">
          <a:extLst>
            <a:ext uri="{FF2B5EF4-FFF2-40B4-BE49-F238E27FC236}">
              <a16:creationId xmlns:a16="http://schemas.microsoft.com/office/drawing/2014/main" id="{8A148407-67F4-96AB-9815-A0EE1B6C7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54A65-A07A-41BD-848B-69166A842F4E}" name="Table1" displayName="Table1" ref="W117:Y124" totalsRowShown="0">
  <autoFilter ref="W117:Y124" xr:uid="{A0654A65-A07A-41BD-848B-69166A842F4E}"/>
  <tableColumns count="3">
    <tableColumn id="1" xr3:uid="{E3042A8B-EC61-47D8-BD59-8A91851AC5B6}" name="Διαστήματα"/>
    <tableColumn id="2" xr3:uid="{846731C1-8D14-4DE7-B6FD-278F9BCA5CDA}" name="Πληθικότητα" dataDxfId="5">
      <calculatedColumnFormula>COUNTIF(J3:J513,"&lt;-10")</calculatedColumnFormula>
    </tableColumn>
    <tableColumn id="3" xr3:uid="{951945AE-20B4-443E-9F7F-33114C6BF243}" name="Μέση τιμή"/>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094CFF-2830-4FF5-806F-A8D7CD9CF60D}" name="Table2" displayName="Table2" ref="T111:W113" totalsRowShown="0">
  <autoFilter ref="T111:W113" xr:uid="{C3094CFF-2830-4FF5-806F-A8D7CD9CF60D}"/>
  <tableColumns count="4">
    <tableColumn id="1" xr3:uid="{2A8DB9E6-2EE7-4005-ADD6-76EF30687FD1}" name="   "/>
    <tableColumn id="2" xr3:uid="{41DEB187-18FC-49FD-9982-662F173E92A7}" name="Μ.Ο" dataDxfId="4">
      <calculatedColumnFormula>AVERAGE(K4:K258)</calculatedColumnFormula>
    </tableColumn>
    <tableColumn id="3" xr3:uid="{6533366B-9B83-49A8-9728-CC81FB0D3783}" name="ΤΥΠΙΚΉ ΑΠΌΚΛΙΣΗ" dataDxfId="3">
      <calculatedColumnFormula>_xlfn.STDEV.P(K4:K258)</calculatedColumnFormula>
    </tableColumn>
    <tableColumn id="4" xr3:uid="{0845A7D3-4080-4C6A-8048-24DF026C3AA8}" name="Πλήθη"/>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5A5ABB-6DB6-4EB6-AF75-CE249462146E}" name="Table3" displayName="Table3" ref="T25:W27" totalsRowShown="0">
  <autoFilter ref="T25:W27" xr:uid="{275A5ABB-6DB6-4EB6-AF75-CE249462146E}"/>
  <tableColumns count="4">
    <tableColumn id="1" xr3:uid="{69502709-571A-4B88-8EBB-167CE72993D6}" name="  "/>
    <tableColumn id="2" xr3:uid="{0DB9E890-02AA-4E67-935D-8A38C8A81441}" name="Μ.Ο" dataDxfId="2">
      <calculatedColumnFormula>AVERAGE(B2:B257)</calculatedColumnFormula>
    </tableColumn>
    <tableColumn id="3" xr3:uid="{0E622E59-0E9C-4F75-9D2C-ACC97567877D}" name="ΤΥΠΙΚΉ ΑΠΌΚΛΙΣΗ">
      <calculatedColumnFormula>_xlfn.STDEV.P(B257:B512)</calculatedColumnFormula>
    </tableColumn>
    <tableColumn id="4" xr3:uid="{5DD53D67-38C5-472A-A96E-87B4B28305AB}" name="Πλήθη"/>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A82105-4E40-4064-BD4E-73B432F63134}" name="Table25" displayName="Table25" ref="T388:W390" totalsRowShown="0">
  <autoFilter ref="T388:W390" xr:uid="{35A82105-4E40-4064-BD4E-73B432F63134}"/>
  <tableColumns count="4">
    <tableColumn id="1" xr3:uid="{DE7DD840-981C-4AD2-B103-B5050C2C5A72}" name="   "/>
    <tableColumn id="2" xr3:uid="{01950D45-A4FB-4530-B8D9-30DCF316F63B}" name="Μ.Ο" dataDxfId="1">
      <calculatedColumnFormula>AVERAGE(N3:N258)</calculatedColumnFormula>
    </tableColumn>
    <tableColumn id="3" xr3:uid="{40192556-EFD7-48D2-A8D7-7844DB34ADEF}" name="ΤΥΠΙΚΉ ΑΠΌΚΛΙΣΗ" dataDxfId="0">
      <calculatedColumnFormula>_xlfn.STDEV.P(N3:N258)</calculatedColumnFormula>
    </tableColumn>
    <tableColumn id="4" xr3:uid="{1262B586-2753-4250-805B-2E6D7D8564B4}" name="Πλήθη"/>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56DE-21E8-4EC5-A801-EA7AEFD25584}">
  <dimension ref="A1:ED3194"/>
  <sheetViews>
    <sheetView tabSelected="1" topLeftCell="I1" zoomScale="70" zoomScaleNormal="70" workbookViewId="0">
      <pane ySplit="1" topLeftCell="A204" activePane="bottomLeft" state="frozen"/>
      <selection pane="bottomLeft" activeCell="X255" sqref="X255"/>
    </sheetView>
  </sheetViews>
  <sheetFormatPr defaultRowHeight="14.25"/>
  <cols>
    <col min="1" max="1" width="5.125" customWidth="1"/>
    <col min="2" max="2" width="7.625" customWidth="1"/>
    <col min="3" max="3" width="11.125" bestFit="1" customWidth="1"/>
    <col min="4" max="4" width="9.25" customWidth="1"/>
    <col min="5" max="5" width="10.625" customWidth="1"/>
    <col min="6" max="6" width="9.75" customWidth="1"/>
    <col min="7" max="7" width="37.875" customWidth="1"/>
    <col min="8" max="8" width="16.875" customWidth="1"/>
    <col min="9" max="9" width="10.75" customWidth="1"/>
    <col min="10" max="10" width="9.875" customWidth="1"/>
    <col min="11" max="11" width="10.125" customWidth="1"/>
    <col min="12" max="12" width="11.5" customWidth="1"/>
    <col min="13" max="13" width="11.25" customWidth="1"/>
    <col min="14" max="16" width="9.875" customWidth="1"/>
    <col min="17" max="17" width="11.75" customWidth="1"/>
    <col min="18" max="18" width="14.375" customWidth="1"/>
    <col min="19" max="19" width="22.125" customWidth="1"/>
    <col min="20" max="20" width="19.75" customWidth="1"/>
    <col min="21" max="21" width="13.625" customWidth="1"/>
    <col min="22" max="22" width="20.25" customWidth="1"/>
    <col min="23" max="23" width="13" customWidth="1"/>
    <col min="24" max="24" width="20.75" customWidth="1"/>
    <col min="25" max="25" width="11.625" customWidth="1"/>
    <col min="26" max="26" width="10.25" customWidth="1"/>
    <col min="27" max="27" width="32.75" customWidth="1"/>
    <col min="28" max="28" width="12.5" customWidth="1"/>
    <col min="29" max="29" width="12.25" customWidth="1"/>
    <col min="30" max="30" width="13.875" customWidth="1"/>
    <col min="32" max="32" width="13.5" customWidth="1"/>
    <col min="34" max="34" width="9" customWidth="1"/>
    <col min="35" max="35" width="9.75" customWidth="1"/>
    <col min="36" max="36" width="12.25" customWidth="1"/>
    <col min="43" max="43" width="10.125" customWidth="1"/>
    <col min="51" max="51" width="10.25" customWidth="1"/>
    <col min="52" max="52" width="11.5" customWidth="1"/>
    <col min="64" max="64" width="13.75" bestFit="1" customWidth="1"/>
    <col min="66" max="66" width="12" customWidth="1"/>
    <col min="68" max="68" width="21.75" bestFit="1" customWidth="1"/>
    <col min="69" max="69" width="12" customWidth="1"/>
    <col min="70" max="70" width="8" customWidth="1"/>
    <col min="71" max="71" width="6.5" customWidth="1"/>
    <col min="73" max="73" width="9.875" customWidth="1"/>
    <col min="74" max="74" width="13" bestFit="1" customWidth="1"/>
    <col min="75" max="75" width="13" customWidth="1"/>
    <col min="76" max="76" width="12.375" customWidth="1"/>
    <col min="82" max="82" width="10.5" customWidth="1"/>
    <col min="83" max="83" width="11.25" customWidth="1"/>
    <col min="84" max="84" width="7.875" customWidth="1"/>
    <col min="85" max="85" width="6.5" customWidth="1"/>
    <col min="87" max="87" width="10.125" customWidth="1"/>
    <col min="88" max="88" width="13.125" bestFit="1" customWidth="1"/>
    <col min="89" max="90" width="13.125" customWidth="1"/>
    <col min="95" max="95" width="13.75" customWidth="1"/>
    <col min="96" max="96" width="10" customWidth="1"/>
    <col min="97" max="97" width="11" customWidth="1"/>
    <col min="98" max="98" width="8.75" customWidth="1"/>
    <col min="99" max="99" width="6.5" customWidth="1"/>
    <col min="100" max="100" width="9.25" customWidth="1"/>
    <col min="101" max="101" width="10.875" customWidth="1"/>
    <col min="102" max="102" width="13.625" bestFit="1" customWidth="1"/>
    <col min="104" max="104" width="12.125" customWidth="1"/>
    <col min="106" max="106" width="10.125" customWidth="1"/>
    <col min="107" max="107" width="11.5" customWidth="1"/>
    <col min="108" max="108" width="8.25" customWidth="1"/>
    <col min="115" max="115" width="10.125" customWidth="1"/>
    <col min="116" max="116" width="12.375" customWidth="1"/>
    <col min="117" max="117" width="8.125" customWidth="1"/>
  </cols>
  <sheetData>
    <row r="1" spans="1:134" ht="94.5" customHeight="1">
      <c r="A1" s="5" t="s">
        <v>0</v>
      </c>
      <c r="B1" s="5" t="s">
        <v>523</v>
      </c>
      <c r="C1" s="6" t="s">
        <v>629</v>
      </c>
      <c r="D1" s="35" t="s">
        <v>628</v>
      </c>
      <c r="E1" s="35" t="s">
        <v>627</v>
      </c>
      <c r="F1" s="35" t="s">
        <v>626</v>
      </c>
      <c r="G1" s="35" t="s">
        <v>625</v>
      </c>
      <c r="H1" s="35" t="s">
        <v>550</v>
      </c>
      <c r="I1" s="8" t="s">
        <v>524</v>
      </c>
      <c r="J1" s="11" t="s">
        <v>606</v>
      </c>
      <c r="K1" s="15" t="s">
        <v>551</v>
      </c>
      <c r="L1" s="20" t="s">
        <v>640</v>
      </c>
      <c r="M1" s="20" t="s">
        <v>641</v>
      </c>
      <c r="N1" s="22" t="s">
        <v>639</v>
      </c>
      <c r="O1" s="26" t="s">
        <v>646</v>
      </c>
      <c r="P1" s="25" t="s">
        <v>647</v>
      </c>
      <c r="Q1" s="10"/>
      <c r="R1" s="21" t="s">
        <v>549</v>
      </c>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row>
    <row r="2" spans="1:134">
      <c r="A2" s="1">
        <v>1</v>
      </c>
      <c r="B2">
        <v>1065</v>
      </c>
      <c r="C2">
        <f>3.2509*A2+932.56</f>
        <v>935.81089999999995</v>
      </c>
      <c r="D2">
        <f>A2/512</f>
        <v>1.953125E-3</v>
      </c>
      <c r="E2">
        <f>IMABS(G2)</f>
        <v>904400.1</v>
      </c>
      <c r="F2">
        <f>B2-C2</f>
        <v>129.18910000000005</v>
      </c>
      <c r="G2" t="s">
        <v>7</v>
      </c>
      <c r="H2">
        <f>(F2+F11+F20+F29+F38+F47+F56+F65+F74)/9</f>
        <v>175.60114444444446</v>
      </c>
      <c r="I2">
        <f t="shared" ref="I2:I65" si="0">B2-C2-H2</f>
        <v>-46.412044444444405</v>
      </c>
      <c r="K2">
        <f>B3-B2</f>
        <v>10.900000000000091</v>
      </c>
      <c r="L2">
        <f>AVERAGE(B2:B21)</f>
        <v>1183.9549999999997</v>
      </c>
      <c r="M2">
        <f>AVERAGE(B2:B51)</f>
        <v>1250.2959999999998</v>
      </c>
    </row>
    <row r="3" spans="1:134">
      <c r="A3" s="1">
        <v>2</v>
      </c>
      <c r="B3">
        <v>1075.9000000000001</v>
      </c>
      <c r="C3">
        <f>3.2509*A3+932.56</f>
        <v>939.06179999999995</v>
      </c>
      <c r="D3">
        <f t="shared" ref="D3:D66" si="1">A3/512</f>
        <v>3.90625E-3</v>
      </c>
      <c r="E3">
        <f t="shared" ref="E3:E66" si="2">IMABS(G3)</f>
        <v>124037.9729104893</v>
      </c>
      <c r="F3">
        <f t="shared" ref="F3:F66" si="3">B3-C3</f>
        <v>136.83820000000014</v>
      </c>
      <c r="G3" t="s">
        <v>8</v>
      </c>
      <c r="H3">
        <f t="shared" ref="H3:H10" si="4">(F3+F12+F21+F30+F39+F48+F57+F66+F75)/9</f>
        <v>183.85024444444448</v>
      </c>
      <c r="I3">
        <f t="shared" si="0"/>
        <v>-47.012044444444342</v>
      </c>
      <c r="J3">
        <f>((B3-B2)/B3)*100</f>
        <v>1.0131053071846909</v>
      </c>
      <c r="K3">
        <f t="shared" ref="K3:K66" si="5">B4-B3</f>
        <v>-15.700000000000045</v>
      </c>
      <c r="L3">
        <f>AVERAGE(B3:B22)</f>
        <v>1195.405</v>
      </c>
      <c r="M3">
        <f>AVERAGE(B3:B53)</f>
        <v>1250.7745098039215</v>
      </c>
      <c r="N3">
        <f t="shared" ref="N3:N10" si="6">L3-L2</f>
        <v>11.450000000000273</v>
      </c>
      <c r="O3" cm="1">
        <f t="array" ref="O3:O514">I2:I513</f>
        <v>-46.412044444444405</v>
      </c>
      <c r="P3">
        <f>J3*100</f>
        <v>101.3105307184691</v>
      </c>
      <c r="R3" s="2" t="s">
        <v>1</v>
      </c>
    </row>
    <row r="4" spans="1:134">
      <c r="A4" s="1">
        <v>3</v>
      </c>
      <c r="B4">
        <v>1060.2</v>
      </c>
      <c r="C4">
        <f t="shared" ref="C4:C67" si="7">3.2509*A4+932.56</f>
        <v>942.31269999999995</v>
      </c>
      <c r="D4">
        <f t="shared" si="1"/>
        <v>5.859375E-3</v>
      </c>
      <c r="E4">
        <f t="shared" si="2"/>
        <v>88961.741728410809</v>
      </c>
      <c r="F4">
        <f t="shared" si="3"/>
        <v>117.8873000000001</v>
      </c>
      <c r="G4" t="s">
        <v>9</v>
      </c>
      <c r="H4">
        <f t="shared" si="4"/>
        <v>187.5549</v>
      </c>
      <c r="I4">
        <f t="shared" si="0"/>
        <v>-69.667599999999908</v>
      </c>
      <c r="J4">
        <f>((B4-B3)/B4)*100</f>
        <v>-1.480852669307682</v>
      </c>
      <c r="K4">
        <f t="shared" si="5"/>
        <v>37.700000000000045</v>
      </c>
      <c r="L4">
        <f>AVERAGE(B4:B23)</f>
        <v>1205.2449999999999</v>
      </c>
      <c r="M4">
        <f>AVERAGE(B4:B53)</f>
        <v>1254.2719999999999</v>
      </c>
      <c r="N4">
        <f t="shared" si="6"/>
        <v>9.8399999999999181</v>
      </c>
      <c r="O4">
        <v>-47.012044444444342</v>
      </c>
      <c r="P4">
        <f t="shared" ref="P4:P67" si="8">J4*100</f>
        <v>-148.0852669307682</v>
      </c>
    </row>
    <row r="5" spans="1:134">
      <c r="A5" s="1">
        <v>4</v>
      </c>
      <c r="B5">
        <v>1097.9000000000001</v>
      </c>
      <c r="C5">
        <f t="shared" si="7"/>
        <v>945.56359999999995</v>
      </c>
      <c r="D5">
        <f t="shared" si="1"/>
        <v>7.8125E-3</v>
      </c>
      <c r="E5">
        <f t="shared" si="2"/>
        <v>57095.841924287808</v>
      </c>
      <c r="F5">
        <f t="shared" si="3"/>
        <v>152.33640000000014</v>
      </c>
      <c r="G5" t="s">
        <v>10</v>
      </c>
      <c r="H5">
        <f t="shared" si="4"/>
        <v>181.60400000000004</v>
      </c>
      <c r="I5">
        <f t="shared" si="0"/>
        <v>-29.267599999999902</v>
      </c>
      <c r="J5">
        <f t="shared" ref="J5:J68" si="9">((B5-B4)/B5)*100</f>
        <v>3.4338282175061519</v>
      </c>
      <c r="K5">
        <f t="shared" si="5"/>
        <v>-7.2000000000000455</v>
      </c>
      <c r="L5">
        <f>AVERAGE(B5:B24)</f>
        <v>1214.8800000000001</v>
      </c>
      <c r="M5">
        <f>AVERAGE(B5:B55)</f>
        <v>1253.4196078431373</v>
      </c>
      <c r="N5">
        <f t="shared" si="6"/>
        <v>9.6350000000002183</v>
      </c>
      <c r="O5">
        <v>-69.667599999999908</v>
      </c>
      <c r="P5">
        <f t="shared" si="8"/>
        <v>343.38282175061516</v>
      </c>
    </row>
    <row r="6" spans="1:134">
      <c r="A6" s="1">
        <v>5</v>
      </c>
      <c r="B6">
        <v>1090.7</v>
      </c>
      <c r="C6">
        <f t="shared" si="7"/>
        <v>948.81449999999995</v>
      </c>
      <c r="D6">
        <f t="shared" si="1"/>
        <v>9.765625E-3</v>
      </c>
      <c r="E6">
        <f t="shared" si="2"/>
        <v>54271.588203239568</v>
      </c>
      <c r="F6">
        <f t="shared" si="3"/>
        <v>141.88550000000009</v>
      </c>
      <c r="G6" t="s">
        <v>11</v>
      </c>
      <c r="H6">
        <f t="shared" si="4"/>
        <v>174.28643333333338</v>
      </c>
      <c r="I6">
        <f t="shared" si="0"/>
        <v>-32.400933333333285</v>
      </c>
      <c r="J6">
        <f t="shared" si="9"/>
        <v>-0.66012652425048546</v>
      </c>
      <c r="K6">
        <f t="shared" si="5"/>
        <v>5.5999999999999091</v>
      </c>
      <c r="L6">
        <f>AVERAGE(B6:B25)</f>
        <v>1220.8200000000002</v>
      </c>
      <c r="M6">
        <f>AVERAGE(B6:B55)</f>
        <v>1256.53</v>
      </c>
      <c r="N6">
        <f t="shared" si="6"/>
        <v>5.9400000000000546</v>
      </c>
      <c r="O6">
        <v>-29.267599999999902</v>
      </c>
      <c r="P6">
        <f t="shared" si="8"/>
        <v>-66.012652425048543</v>
      </c>
    </row>
    <row r="7" spans="1:134">
      <c r="A7" s="1">
        <v>6</v>
      </c>
      <c r="B7">
        <v>1096.3</v>
      </c>
      <c r="C7">
        <f t="shared" si="7"/>
        <v>952.06539999999995</v>
      </c>
      <c r="D7">
        <f t="shared" si="1"/>
        <v>1.171875E-2</v>
      </c>
      <c r="E7">
        <f t="shared" si="2"/>
        <v>33616.926442260745</v>
      </c>
      <c r="F7">
        <f t="shared" si="3"/>
        <v>144.2346</v>
      </c>
      <c r="G7" t="s">
        <v>12</v>
      </c>
      <c r="H7">
        <f t="shared" si="4"/>
        <v>168.29108888888885</v>
      </c>
      <c r="I7">
        <f t="shared" si="0"/>
        <v>-24.05648888888885</v>
      </c>
      <c r="J7">
        <f t="shared" si="9"/>
        <v>0.5108090851044339</v>
      </c>
      <c r="K7">
        <f t="shared" si="5"/>
        <v>20.100000000000136</v>
      </c>
      <c r="L7">
        <f t="shared" ref="L7:L67" si="10">AVERAGE(B7:B26)</f>
        <v>1228.4300000000003</v>
      </c>
      <c r="M7">
        <f>AVERAGE(B7:B57)</f>
        <v>1256.0960784313727</v>
      </c>
      <c r="N7">
        <f t="shared" si="6"/>
        <v>7.6100000000001273</v>
      </c>
      <c r="O7">
        <v>-32.400933333333285</v>
      </c>
      <c r="P7">
        <f t="shared" si="8"/>
        <v>51.080908510443393</v>
      </c>
    </row>
    <row r="8" spans="1:134">
      <c r="A8" s="1">
        <v>7</v>
      </c>
      <c r="B8">
        <v>1116.4000000000001</v>
      </c>
      <c r="C8">
        <f t="shared" si="7"/>
        <v>955.31629999999996</v>
      </c>
      <c r="D8">
        <f t="shared" si="1"/>
        <v>1.3671875E-2</v>
      </c>
      <c r="E8">
        <f t="shared" si="2"/>
        <v>31970.370756498753</v>
      </c>
      <c r="F8">
        <f t="shared" si="3"/>
        <v>161.08370000000014</v>
      </c>
      <c r="G8" t="s">
        <v>13</v>
      </c>
      <c r="H8">
        <f t="shared" si="4"/>
        <v>163.41796666666673</v>
      </c>
      <c r="I8">
        <f t="shared" si="0"/>
        <v>-2.3342666666665934</v>
      </c>
      <c r="J8">
        <f t="shared" si="9"/>
        <v>1.8004299534217247</v>
      </c>
      <c r="K8">
        <f t="shared" si="5"/>
        <v>41.299999999999955</v>
      </c>
      <c r="L8">
        <f t="shared" si="10"/>
        <v>1237.4100000000003</v>
      </c>
      <c r="M8">
        <f>AVERAGE(B8:B57)</f>
        <v>1259.2919999999999</v>
      </c>
      <c r="N8">
        <f t="shared" si="6"/>
        <v>8.9800000000000182</v>
      </c>
      <c r="O8">
        <v>-24.05648888888885</v>
      </c>
      <c r="P8">
        <f t="shared" si="8"/>
        <v>180.04299534217247</v>
      </c>
    </row>
    <row r="9" spans="1:134">
      <c r="A9" s="1">
        <v>8</v>
      </c>
      <c r="B9">
        <v>1157.7</v>
      </c>
      <c r="C9">
        <f t="shared" si="7"/>
        <v>958.56719999999996</v>
      </c>
      <c r="D9">
        <f t="shared" si="1"/>
        <v>1.5625E-2</v>
      </c>
      <c r="E9">
        <f t="shared" si="2"/>
        <v>21278.228013967029</v>
      </c>
      <c r="F9">
        <f t="shared" si="3"/>
        <v>199.13280000000009</v>
      </c>
      <c r="G9" t="s">
        <v>14</v>
      </c>
      <c r="H9">
        <f t="shared" si="4"/>
        <v>168.63373333333334</v>
      </c>
      <c r="I9">
        <f t="shared" si="0"/>
        <v>30.499066666666749</v>
      </c>
      <c r="J9">
        <f t="shared" si="9"/>
        <v>3.5674181566899845</v>
      </c>
      <c r="K9">
        <f t="shared" si="5"/>
        <v>81.700000000000045</v>
      </c>
      <c r="L9">
        <f t="shared" si="10"/>
        <v>1246.3300000000004</v>
      </c>
      <c r="M9">
        <f>AVERAGE(B9:B59)</f>
        <v>1259.7901960784313</v>
      </c>
      <c r="N9">
        <f t="shared" si="6"/>
        <v>8.9200000000000728</v>
      </c>
      <c r="O9">
        <v>-2.3342666666665934</v>
      </c>
      <c r="P9">
        <f t="shared" si="8"/>
        <v>356.74181566899847</v>
      </c>
    </row>
    <row r="10" spans="1:134">
      <c r="A10" s="1">
        <v>9</v>
      </c>
      <c r="B10">
        <v>1239.4000000000001</v>
      </c>
      <c r="C10">
        <f t="shared" si="7"/>
        <v>961.81809999999996</v>
      </c>
      <c r="D10">
        <f t="shared" si="1"/>
        <v>1.7578125E-2</v>
      </c>
      <c r="E10">
        <f t="shared" si="2"/>
        <v>27343.758770188593</v>
      </c>
      <c r="F10">
        <f t="shared" si="3"/>
        <v>277.58190000000013</v>
      </c>
      <c r="G10" t="s">
        <v>15</v>
      </c>
      <c r="H10">
        <f t="shared" si="4"/>
        <v>175.06061111111109</v>
      </c>
      <c r="I10">
        <f t="shared" si="0"/>
        <v>102.52128888888905</v>
      </c>
      <c r="J10">
        <f t="shared" si="9"/>
        <v>6.5918993061158657</v>
      </c>
      <c r="K10">
        <f t="shared" si="5"/>
        <v>-8.6000000000001364</v>
      </c>
      <c r="L10">
        <f t="shared" si="10"/>
        <v>1254.5650000000003</v>
      </c>
      <c r="M10">
        <f>AVERAGE(B10:B59)</f>
        <v>1261.8319999999999</v>
      </c>
      <c r="N10">
        <f t="shared" si="6"/>
        <v>8.2349999999999</v>
      </c>
      <c r="O10">
        <v>30.499066666666749</v>
      </c>
      <c r="P10">
        <f t="shared" si="8"/>
        <v>659.18993061158653</v>
      </c>
    </row>
    <row r="11" spans="1:134">
      <c r="A11" s="1">
        <v>10</v>
      </c>
      <c r="B11">
        <v>1230.8</v>
      </c>
      <c r="C11">
        <f t="shared" si="7"/>
        <v>965.06899999999996</v>
      </c>
      <c r="D11">
        <f t="shared" si="1"/>
        <v>1.953125E-2</v>
      </c>
      <c r="E11">
        <f t="shared" si="2"/>
        <v>25739.754934525768</v>
      </c>
      <c r="F11">
        <f t="shared" si="3"/>
        <v>265.73099999999999</v>
      </c>
      <c r="G11" t="s">
        <v>16</v>
      </c>
      <c r="H11">
        <v>175.60114444444446</v>
      </c>
      <c r="I11">
        <f t="shared" si="0"/>
        <v>90.129855555555537</v>
      </c>
      <c r="J11">
        <f t="shared" si="9"/>
        <v>-0.69873253168671901</v>
      </c>
      <c r="K11">
        <f t="shared" si="5"/>
        <v>-10.399999999999864</v>
      </c>
      <c r="L11">
        <f t="shared" si="10"/>
        <v>1259.5450000000003</v>
      </c>
      <c r="M11">
        <f>AVERAGE(B11:B61)</f>
        <v>1260.0274509803924</v>
      </c>
      <c r="N11">
        <f t="shared" ref="N11:N68" si="11">L11-L10</f>
        <v>4.9800000000000182</v>
      </c>
      <c r="O11">
        <v>102.52128888888905</v>
      </c>
      <c r="P11">
        <f t="shared" si="8"/>
        <v>-69.873253168671894</v>
      </c>
    </row>
    <row r="12" spans="1:134">
      <c r="A12" s="1">
        <v>11</v>
      </c>
      <c r="B12">
        <v>1220.4000000000001</v>
      </c>
      <c r="C12">
        <f t="shared" si="7"/>
        <v>968.31989999999996</v>
      </c>
      <c r="D12">
        <f t="shared" si="1"/>
        <v>2.1484375E-2</v>
      </c>
      <c r="E12">
        <f t="shared" si="2"/>
        <v>25088.341949836969</v>
      </c>
      <c r="F12">
        <f t="shared" si="3"/>
        <v>252.08010000000013</v>
      </c>
      <c r="G12" t="s">
        <v>17</v>
      </c>
      <c r="H12">
        <v>183.85024444444448</v>
      </c>
      <c r="I12">
        <f t="shared" si="0"/>
        <v>68.229855555555645</v>
      </c>
      <c r="J12">
        <f t="shared" si="9"/>
        <v>-0.85217961324154878</v>
      </c>
      <c r="K12">
        <f t="shared" si="5"/>
        <v>50.299999999999955</v>
      </c>
      <c r="L12">
        <f t="shared" si="10"/>
        <v>1265.9250000000002</v>
      </c>
      <c r="M12">
        <f>AVERAGE(B12:B61)</f>
        <v>1260.6120000000001</v>
      </c>
      <c r="N12">
        <f t="shared" si="11"/>
        <v>6.3799999999998818</v>
      </c>
      <c r="O12">
        <v>90.129855555555537</v>
      </c>
      <c r="P12">
        <f t="shared" si="8"/>
        <v>-85.217961324154885</v>
      </c>
    </row>
    <row r="13" spans="1:134">
      <c r="A13" s="1">
        <v>12</v>
      </c>
      <c r="B13">
        <v>1270.7</v>
      </c>
      <c r="C13">
        <f t="shared" si="7"/>
        <v>971.57079999999996</v>
      </c>
      <c r="D13">
        <f t="shared" si="1"/>
        <v>2.34375E-2</v>
      </c>
      <c r="E13">
        <f t="shared" si="2"/>
        <v>16260.544094282313</v>
      </c>
      <c r="F13">
        <f t="shared" si="3"/>
        <v>299.12920000000008</v>
      </c>
      <c r="G13" t="s">
        <v>18</v>
      </c>
      <c r="H13">
        <v>187.5549</v>
      </c>
      <c r="I13">
        <f t="shared" si="0"/>
        <v>111.57430000000008</v>
      </c>
      <c r="J13">
        <f t="shared" si="9"/>
        <v>3.9584480994727276</v>
      </c>
      <c r="K13">
        <f t="shared" si="5"/>
        <v>-11.299999999999955</v>
      </c>
      <c r="L13">
        <f t="shared" si="10"/>
        <v>1271.2750000000003</v>
      </c>
      <c r="M13">
        <f>AVERAGE(B13:B63)</f>
        <v>1260.4941176470591</v>
      </c>
      <c r="N13">
        <f t="shared" si="11"/>
        <v>5.3500000000001364</v>
      </c>
      <c r="O13">
        <v>68.229855555555645</v>
      </c>
      <c r="P13">
        <f t="shared" si="8"/>
        <v>395.84480994727278</v>
      </c>
    </row>
    <row r="14" spans="1:134">
      <c r="A14" s="1">
        <v>13</v>
      </c>
      <c r="B14">
        <v>1259.4000000000001</v>
      </c>
      <c r="C14">
        <f t="shared" si="7"/>
        <v>974.82169999999996</v>
      </c>
      <c r="D14">
        <f t="shared" si="1"/>
        <v>2.5390625E-2</v>
      </c>
      <c r="E14">
        <f t="shared" si="2"/>
        <v>25020.623548383403</v>
      </c>
      <c r="F14">
        <f t="shared" si="3"/>
        <v>284.57830000000013</v>
      </c>
      <c r="G14" t="s">
        <v>19</v>
      </c>
      <c r="H14">
        <v>181.60400000000004</v>
      </c>
      <c r="I14">
        <f t="shared" si="0"/>
        <v>102.97430000000008</v>
      </c>
      <c r="J14">
        <f t="shared" si="9"/>
        <v>-0.89725265999682013</v>
      </c>
      <c r="K14">
        <f t="shared" si="5"/>
        <v>-5.1000000000001364</v>
      </c>
      <c r="L14">
        <f t="shared" si="10"/>
        <v>1273.9100000000003</v>
      </c>
      <c r="M14">
        <f>AVERAGE(B14:B63)</f>
        <v>1260.2900000000002</v>
      </c>
      <c r="N14">
        <f t="shared" si="11"/>
        <v>2.6349999999999909</v>
      </c>
      <c r="O14">
        <v>111.57430000000008</v>
      </c>
      <c r="P14">
        <f t="shared" si="8"/>
        <v>-89.725265999682009</v>
      </c>
    </row>
    <row r="15" spans="1:134">
      <c r="A15" s="1">
        <v>14</v>
      </c>
      <c r="B15">
        <v>1254.3</v>
      </c>
      <c r="C15">
        <f t="shared" si="7"/>
        <v>978.07259999999997</v>
      </c>
      <c r="D15">
        <f t="shared" si="1"/>
        <v>2.734375E-2</v>
      </c>
      <c r="E15">
        <f t="shared" si="2"/>
        <v>15815.094642850612</v>
      </c>
      <c r="F15">
        <f t="shared" si="3"/>
        <v>276.22739999999999</v>
      </c>
      <c r="G15" t="s">
        <v>20</v>
      </c>
      <c r="H15">
        <v>174.28643333333338</v>
      </c>
      <c r="I15">
        <f t="shared" si="0"/>
        <v>101.94096666666661</v>
      </c>
      <c r="J15">
        <f t="shared" si="9"/>
        <v>-0.40660129155705466</v>
      </c>
      <c r="K15">
        <f t="shared" si="5"/>
        <v>-32.700000000000045</v>
      </c>
      <c r="L15">
        <f t="shared" si="10"/>
        <v>1278.8150000000003</v>
      </c>
      <c r="M15">
        <f>AVERAGE(B15:B65)</f>
        <v>1259.6058823529415</v>
      </c>
      <c r="N15">
        <f t="shared" si="11"/>
        <v>4.9049999999999727</v>
      </c>
      <c r="O15">
        <v>102.97430000000008</v>
      </c>
      <c r="P15">
        <f t="shared" si="8"/>
        <v>-40.660129155705462</v>
      </c>
    </row>
    <row r="16" spans="1:134">
      <c r="A16" s="1">
        <v>15</v>
      </c>
      <c r="B16">
        <v>1221.5999999999999</v>
      </c>
      <c r="C16">
        <f t="shared" si="7"/>
        <v>981.32349999999997</v>
      </c>
      <c r="D16">
        <f t="shared" si="1"/>
        <v>2.9296875E-2</v>
      </c>
      <c r="E16">
        <f t="shared" si="2"/>
        <v>13671.700548243212</v>
      </c>
      <c r="F16">
        <f t="shared" si="3"/>
        <v>240.27649999999994</v>
      </c>
      <c r="G16" t="s">
        <v>21</v>
      </c>
      <c r="H16">
        <v>168.29108888888885</v>
      </c>
      <c r="I16">
        <f t="shared" si="0"/>
        <v>71.985411111111091</v>
      </c>
      <c r="J16">
        <f t="shared" si="9"/>
        <v>-2.6768172888015758</v>
      </c>
      <c r="K16">
        <f t="shared" si="5"/>
        <v>1.9000000000000909</v>
      </c>
      <c r="L16">
        <f t="shared" si="10"/>
        <v>1283.3200000000002</v>
      </c>
      <c r="M16">
        <f>AVERAGE(B16:B65)</f>
        <v>1259.7120000000002</v>
      </c>
      <c r="N16">
        <f t="shared" si="11"/>
        <v>4.5049999999998818</v>
      </c>
      <c r="O16">
        <v>101.94096666666661</v>
      </c>
      <c r="P16">
        <f t="shared" si="8"/>
        <v>-267.68172888015755</v>
      </c>
    </row>
    <row r="17" spans="1:23">
      <c r="A17" s="1">
        <v>16</v>
      </c>
      <c r="B17">
        <v>1223.5</v>
      </c>
      <c r="C17">
        <f t="shared" si="7"/>
        <v>984.57439999999997</v>
      </c>
      <c r="D17">
        <f t="shared" si="1"/>
        <v>3.125E-2</v>
      </c>
      <c r="E17">
        <f t="shared" si="2"/>
        <v>15210.356903550759</v>
      </c>
      <c r="F17">
        <f t="shared" si="3"/>
        <v>238.92560000000003</v>
      </c>
      <c r="G17" t="s">
        <v>22</v>
      </c>
      <c r="H17">
        <v>163.41796666666673</v>
      </c>
      <c r="I17">
        <f t="shared" si="0"/>
        <v>75.507633333333303</v>
      </c>
      <c r="J17">
        <f t="shared" si="9"/>
        <v>0.15529219452391427</v>
      </c>
      <c r="K17">
        <f t="shared" si="5"/>
        <v>20.299999999999955</v>
      </c>
      <c r="L17">
        <f t="shared" si="10"/>
        <v>1289.4000000000003</v>
      </c>
      <c r="M17">
        <f>AVERAGE(B17:B67)</f>
        <v>1258.7372549019613</v>
      </c>
      <c r="N17">
        <f t="shared" si="11"/>
        <v>6.0800000000001546</v>
      </c>
      <c r="O17">
        <v>71.985411111111091</v>
      </c>
      <c r="P17">
        <f t="shared" si="8"/>
        <v>15.529219452391427</v>
      </c>
    </row>
    <row r="18" spans="1:23">
      <c r="A18" s="1">
        <v>17</v>
      </c>
      <c r="B18">
        <v>1243.8</v>
      </c>
      <c r="C18">
        <f t="shared" si="7"/>
        <v>987.82529999999997</v>
      </c>
      <c r="D18">
        <f t="shared" si="1"/>
        <v>3.3203125E-2</v>
      </c>
      <c r="E18">
        <f t="shared" si="2"/>
        <v>11632.766750837498</v>
      </c>
      <c r="F18">
        <f t="shared" si="3"/>
        <v>255.97469999999998</v>
      </c>
      <c r="G18" t="s">
        <v>23</v>
      </c>
      <c r="H18">
        <v>168.63373333333334</v>
      </c>
      <c r="I18">
        <f t="shared" si="0"/>
        <v>87.340966666666645</v>
      </c>
      <c r="J18">
        <f t="shared" si="9"/>
        <v>1.6320951921530757</v>
      </c>
      <c r="K18">
        <f t="shared" si="5"/>
        <v>-9.2000000000000455</v>
      </c>
      <c r="L18">
        <f t="shared" si="10"/>
        <v>1295.5350000000003</v>
      </c>
      <c r="M18">
        <f>AVERAGE(B18:B67)</f>
        <v>1259.4420000000005</v>
      </c>
      <c r="N18">
        <f t="shared" si="11"/>
        <v>6.1349999999999909</v>
      </c>
      <c r="O18">
        <v>75.507633333333303</v>
      </c>
      <c r="P18">
        <f t="shared" si="8"/>
        <v>163.20951921530758</v>
      </c>
    </row>
    <row r="19" spans="1:23">
      <c r="A19" s="1">
        <v>18</v>
      </c>
      <c r="B19">
        <v>1234.5999999999999</v>
      </c>
      <c r="C19">
        <f t="shared" si="7"/>
        <v>991.07619999999997</v>
      </c>
      <c r="D19">
        <f t="shared" si="1"/>
        <v>3.515625E-2</v>
      </c>
      <c r="E19">
        <f t="shared" si="2"/>
        <v>9418.4425254482921</v>
      </c>
      <c r="F19">
        <f t="shared" si="3"/>
        <v>243.52379999999994</v>
      </c>
      <c r="G19" t="s">
        <v>24</v>
      </c>
      <c r="H19">
        <v>175.06061111111109</v>
      </c>
      <c r="I19">
        <f t="shared" si="0"/>
        <v>68.463188888888851</v>
      </c>
      <c r="J19">
        <f t="shared" si="9"/>
        <v>-0.74518062530374585</v>
      </c>
      <c r="K19">
        <f t="shared" si="5"/>
        <v>-4.5999999999999091</v>
      </c>
      <c r="L19">
        <f t="shared" si="10"/>
        <v>1299.6400000000003</v>
      </c>
      <c r="M19">
        <f>AVERAGE(B19:B69)</f>
        <v>1259.3725490196082</v>
      </c>
      <c r="N19">
        <f t="shared" si="11"/>
        <v>4.1050000000000182</v>
      </c>
      <c r="O19">
        <v>87.340966666666645</v>
      </c>
      <c r="P19">
        <f t="shared" si="8"/>
        <v>-74.518062530374579</v>
      </c>
    </row>
    <row r="20" spans="1:23">
      <c r="A20" s="1">
        <v>19</v>
      </c>
      <c r="B20">
        <v>1230</v>
      </c>
      <c r="C20">
        <f t="shared" si="7"/>
        <v>994.32709999999997</v>
      </c>
      <c r="D20">
        <f t="shared" si="1"/>
        <v>3.7109375E-2</v>
      </c>
      <c r="E20">
        <f t="shared" si="2"/>
        <v>10955.206816833035</v>
      </c>
      <c r="F20">
        <f t="shared" si="3"/>
        <v>235.67290000000003</v>
      </c>
      <c r="G20" t="s">
        <v>25</v>
      </c>
      <c r="H20">
        <v>175.60114444444446</v>
      </c>
      <c r="I20">
        <f t="shared" si="0"/>
        <v>60.071755555555569</v>
      </c>
      <c r="J20">
        <f t="shared" si="9"/>
        <v>-0.37398373983739103</v>
      </c>
      <c r="K20">
        <f t="shared" si="5"/>
        <v>60.5</v>
      </c>
      <c r="L20">
        <f t="shared" si="10"/>
        <v>1304.2450000000003</v>
      </c>
      <c r="M20">
        <f>AVERAGE(B20:B69)</f>
        <v>1259.8680000000002</v>
      </c>
      <c r="N20">
        <f t="shared" si="11"/>
        <v>4.6050000000000182</v>
      </c>
      <c r="O20">
        <v>68.463188888888851</v>
      </c>
      <c r="P20">
        <f t="shared" si="8"/>
        <v>-37.398373983739106</v>
      </c>
    </row>
    <row r="21" spans="1:23">
      <c r="A21" s="1">
        <v>20</v>
      </c>
      <c r="B21">
        <v>1290.5</v>
      </c>
      <c r="C21">
        <f t="shared" si="7"/>
        <v>997.57799999999997</v>
      </c>
      <c r="D21">
        <f t="shared" si="1"/>
        <v>3.90625E-2</v>
      </c>
      <c r="E21">
        <f t="shared" si="2"/>
        <v>7252.6803549845772</v>
      </c>
      <c r="F21">
        <f t="shared" si="3"/>
        <v>292.92200000000003</v>
      </c>
      <c r="G21" t="s">
        <v>26</v>
      </c>
      <c r="H21">
        <v>183.85024444444448</v>
      </c>
      <c r="I21">
        <f t="shared" si="0"/>
        <v>109.07175555555554</v>
      </c>
      <c r="J21">
        <f t="shared" si="9"/>
        <v>4.6881053855094921</v>
      </c>
      <c r="K21">
        <f t="shared" si="5"/>
        <v>3.5</v>
      </c>
      <c r="L21">
        <f t="shared" si="10"/>
        <v>1309.4700000000003</v>
      </c>
      <c r="M21">
        <f>AVERAGE(B21:B71)</f>
        <v>1260.9647058823532</v>
      </c>
      <c r="N21">
        <f t="shared" si="11"/>
        <v>5.2249999999999091</v>
      </c>
      <c r="O21">
        <v>60.071755555555569</v>
      </c>
      <c r="P21">
        <f t="shared" si="8"/>
        <v>468.81053855094922</v>
      </c>
      <c r="R21" s="14" t="s">
        <v>520</v>
      </c>
    </row>
    <row r="22" spans="1:23">
      <c r="A22" s="1">
        <v>21</v>
      </c>
      <c r="B22">
        <v>1294</v>
      </c>
      <c r="C22">
        <f t="shared" si="7"/>
        <v>1000.8289</v>
      </c>
      <c r="D22">
        <f t="shared" si="1"/>
        <v>4.1015625E-2</v>
      </c>
      <c r="E22">
        <f t="shared" si="2"/>
        <v>6853.5127976664417</v>
      </c>
      <c r="F22">
        <f t="shared" si="3"/>
        <v>293.17110000000002</v>
      </c>
      <c r="G22" t="s">
        <v>27</v>
      </c>
      <c r="H22">
        <v>187.5549</v>
      </c>
      <c r="I22">
        <f t="shared" si="0"/>
        <v>105.61620000000002</v>
      </c>
      <c r="J22">
        <f t="shared" si="9"/>
        <v>0.27047913446676969</v>
      </c>
      <c r="K22">
        <f t="shared" si="5"/>
        <v>-21.299999999999955</v>
      </c>
      <c r="L22">
        <f t="shared" si="10"/>
        <v>1310.4550000000004</v>
      </c>
      <c r="M22">
        <f>AVERAGE(B22:B71)</f>
        <v>1260.3740000000005</v>
      </c>
      <c r="N22">
        <f t="shared" si="11"/>
        <v>0.98500000000012733</v>
      </c>
      <c r="O22">
        <v>109.07175555555554</v>
      </c>
      <c r="P22">
        <f t="shared" si="8"/>
        <v>27.047913446676969</v>
      </c>
    </row>
    <row r="23" spans="1:23">
      <c r="A23" s="1">
        <v>22</v>
      </c>
      <c r="B23">
        <v>1272.7</v>
      </c>
      <c r="C23">
        <f t="shared" si="7"/>
        <v>1004.0798</v>
      </c>
      <c r="D23">
        <f t="shared" si="1"/>
        <v>4.296875E-2</v>
      </c>
      <c r="E23">
        <f t="shared" si="2"/>
        <v>9034.4619731166422</v>
      </c>
      <c r="F23">
        <f t="shared" si="3"/>
        <v>268.62020000000007</v>
      </c>
      <c r="G23" t="s">
        <v>28</v>
      </c>
      <c r="H23">
        <v>181.60400000000004</v>
      </c>
      <c r="I23">
        <f t="shared" si="0"/>
        <v>87.016200000000026</v>
      </c>
      <c r="J23">
        <f t="shared" si="9"/>
        <v>-1.6736072915848159</v>
      </c>
      <c r="K23">
        <f t="shared" si="5"/>
        <v>-19.799999999999955</v>
      </c>
      <c r="L23">
        <f t="shared" si="10"/>
        <v>1312.8400000000004</v>
      </c>
      <c r="M23">
        <f>AVERAGE(B23:B73)</f>
        <v>1260.4333333333336</v>
      </c>
      <c r="N23">
        <f t="shared" si="11"/>
        <v>2.3849999999999909</v>
      </c>
      <c r="O23">
        <v>105.61620000000002</v>
      </c>
      <c r="P23">
        <f t="shared" si="8"/>
        <v>-167.3607291584816</v>
      </c>
      <c r="S23" t="s">
        <v>636</v>
      </c>
    </row>
    <row r="24" spans="1:23">
      <c r="A24" s="1">
        <v>23</v>
      </c>
      <c r="B24">
        <v>1252.9000000000001</v>
      </c>
      <c r="C24">
        <f t="shared" si="7"/>
        <v>1007.3307</v>
      </c>
      <c r="D24">
        <f t="shared" si="1"/>
        <v>4.4921875E-2</v>
      </c>
      <c r="E24">
        <f t="shared" si="2"/>
        <v>8256.5699101802347</v>
      </c>
      <c r="F24">
        <f t="shared" si="3"/>
        <v>245.56930000000011</v>
      </c>
      <c r="G24" t="s">
        <v>29</v>
      </c>
      <c r="H24">
        <v>174.28643333333338</v>
      </c>
      <c r="I24">
        <f t="shared" si="0"/>
        <v>71.282866666666735</v>
      </c>
      <c r="J24">
        <f t="shared" si="9"/>
        <v>-1.5803336259877048</v>
      </c>
      <c r="K24">
        <f t="shared" si="5"/>
        <v>-36.200000000000045</v>
      </c>
      <c r="L24">
        <f t="shared" si="10"/>
        <v>1315.06</v>
      </c>
      <c r="M24">
        <f>AVERAGE(B24:B73)</f>
        <v>1260.1880000000001</v>
      </c>
      <c r="N24">
        <f t="shared" si="11"/>
        <v>2.2199999999995725</v>
      </c>
      <c r="O24">
        <v>87.016200000000026</v>
      </c>
      <c r="P24">
        <f t="shared" si="8"/>
        <v>-158.03336259877048</v>
      </c>
      <c r="S24" t="s">
        <v>2</v>
      </c>
    </row>
    <row r="25" spans="1:23">
      <c r="A25" s="1">
        <v>24</v>
      </c>
      <c r="B25">
        <v>1216.7</v>
      </c>
      <c r="C25">
        <f t="shared" si="7"/>
        <v>1010.5816</v>
      </c>
      <c r="D25">
        <f t="shared" si="1"/>
        <v>4.6875E-2</v>
      </c>
      <c r="E25">
        <f t="shared" si="2"/>
        <v>11673.714185462472</v>
      </c>
      <c r="F25">
        <f t="shared" si="3"/>
        <v>206.11840000000007</v>
      </c>
      <c r="G25" t="s">
        <v>30</v>
      </c>
      <c r="H25">
        <v>168.29108888888885</v>
      </c>
      <c r="I25">
        <f t="shared" si="0"/>
        <v>37.827311111111214</v>
      </c>
      <c r="J25">
        <f t="shared" si="9"/>
        <v>-2.9752609517547501</v>
      </c>
      <c r="K25">
        <f t="shared" si="5"/>
        <v>26.200000000000045</v>
      </c>
      <c r="L25">
        <f t="shared" si="10"/>
        <v>1315.0100000000002</v>
      </c>
      <c r="M25">
        <f>AVERAGE(B25:B75)</f>
        <v>1259.0411764705884</v>
      </c>
      <c r="N25">
        <f t="shared" si="11"/>
        <v>-4.9999999999727152E-2</v>
      </c>
      <c r="O25">
        <v>71.282866666666735</v>
      </c>
      <c r="P25">
        <f t="shared" si="8"/>
        <v>-297.52609517547501</v>
      </c>
      <c r="T25" t="s">
        <v>538</v>
      </c>
      <c r="U25" t="s">
        <v>4</v>
      </c>
      <c r="V25" t="s">
        <v>5</v>
      </c>
      <c r="W25" t="s">
        <v>565</v>
      </c>
    </row>
    <row r="26" spans="1:23">
      <c r="A26" s="1">
        <v>25</v>
      </c>
      <c r="B26">
        <v>1242.9000000000001</v>
      </c>
      <c r="C26">
        <f t="shared" si="7"/>
        <v>1013.8325</v>
      </c>
      <c r="D26">
        <f t="shared" si="1"/>
        <v>4.8828125E-2</v>
      </c>
      <c r="E26">
        <f t="shared" si="2"/>
        <v>8566.4092775152512</v>
      </c>
      <c r="F26">
        <f t="shared" si="3"/>
        <v>229.06750000000011</v>
      </c>
      <c r="G26" t="s">
        <v>31</v>
      </c>
      <c r="H26">
        <v>163.41796666666673</v>
      </c>
      <c r="I26">
        <f t="shared" si="0"/>
        <v>65.64953333333338</v>
      </c>
      <c r="J26">
        <f t="shared" si="9"/>
        <v>2.1079732882774191</v>
      </c>
      <c r="K26">
        <f t="shared" si="5"/>
        <v>33</v>
      </c>
      <c r="L26">
        <f t="shared" si="10"/>
        <v>1316.9500000000003</v>
      </c>
      <c r="M26">
        <f>AVERAGE(B26:B75)</f>
        <v>1259.8880000000001</v>
      </c>
      <c r="N26">
        <f t="shared" si="11"/>
        <v>1.9400000000000546</v>
      </c>
      <c r="O26">
        <v>37.827311111111214</v>
      </c>
      <c r="P26">
        <f t="shared" si="8"/>
        <v>210.79732882774192</v>
      </c>
      <c r="S26" t="s">
        <v>566</v>
      </c>
      <c r="T26" t="s">
        <v>3</v>
      </c>
      <c r="U26">
        <f>AVERAGE(B2:B257)</f>
        <v>1376.1945312499995</v>
      </c>
      <c r="V26">
        <f>_xlfn.STDEV.P(B2:B257)</f>
        <v>208.42624831272931</v>
      </c>
      <c r="W26">
        <f>COUNT(B2:B257)</f>
        <v>256</v>
      </c>
    </row>
    <row r="27" spans="1:23">
      <c r="A27" s="1">
        <v>26</v>
      </c>
      <c r="B27">
        <v>1275.9000000000001</v>
      </c>
      <c r="C27">
        <f t="shared" si="7"/>
        <v>1017.0834</v>
      </c>
      <c r="D27">
        <f t="shared" si="1"/>
        <v>5.078125E-2</v>
      </c>
      <c r="E27">
        <f t="shared" si="2"/>
        <v>8076.0257148214405</v>
      </c>
      <c r="F27">
        <f t="shared" si="3"/>
        <v>258.81660000000011</v>
      </c>
      <c r="G27" t="s">
        <v>32</v>
      </c>
      <c r="H27">
        <v>168.63373333333334</v>
      </c>
      <c r="I27">
        <f t="shared" si="0"/>
        <v>90.182866666666769</v>
      </c>
      <c r="J27">
        <f t="shared" si="9"/>
        <v>2.5864095932283093</v>
      </c>
      <c r="K27">
        <f t="shared" si="5"/>
        <v>18.899999999999864</v>
      </c>
      <c r="L27">
        <f t="shared" si="10"/>
        <v>1318.19</v>
      </c>
      <c r="M27">
        <f>AVERAGE(B27:B77)</f>
        <v>1260.2588235294118</v>
      </c>
      <c r="N27">
        <f t="shared" si="11"/>
        <v>1.2399999999997817</v>
      </c>
      <c r="O27">
        <v>65.64953333333338</v>
      </c>
      <c r="P27">
        <f t="shared" si="8"/>
        <v>258.64095932283095</v>
      </c>
      <c r="S27" t="s">
        <v>567</v>
      </c>
      <c r="T27" t="s">
        <v>6</v>
      </c>
      <c r="U27">
        <f>AVERAGE(B258:B513)</f>
        <v>2156.6183593750002</v>
      </c>
      <c r="V27">
        <f>_xlfn.STDEV.P(B258:B513)</f>
        <v>485.95104813794853</v>
      </c>
      <c r="W27">
        <f>COUNT(B258:B513)</f>
        <v>256</v>
      </c>
    </row>
    <row r="28" spans="1:23">
      <c r="A28" s="1">
        <v>27</v>
      </c>
      <c r="B28">
        <v>1294.8</v>
      </c>
      <c r="C28">
        <f t="shared" si="7"/>
        <v>1020.3343</v>
      </c>
      <c r="D28">
        <f t="shared" si="1"/>
        <v>5.2734375E-2</v>
      </c>
      <c r="E28">
        <f t="shared" si="2"/>
        <v>9780.7909029900657</v>
      </c>
      <c r="F28">
        <f t="shared" si="3"/>
        <v>274.46569999999997</v>
      </c>
      <c r="G28" t="s">
        <v>33</v>
      </c>
      <c r="H28">
        <v>175.06061111111109</v>
      </c>
      <c r="I28">
        <f t="shared" si="0"/>
        <v>99.405088888888884</v>
      </c>
      <c r="J28">
        <f t="shared" si="9"/>
        <v>1.4596848934198225</v>
      </c>
      <c r="K28">
        <f t="shared" si="5"/>
        <v>27.600000000000136</v>
      </c>
      <c r="L28">
        <f t="shared" si="10"/>
        <v>1318.2350000000001</v>
      </c>
      <c r="M28">
        <f>AVERAGE(B28:B77)</f>
        <v>1259.9460000000001</v>
      </c>
      <c r="N28">
        <f t="shared" si="11"/>
        <v>4.500000000007276E-2</v>
      </c>
      <c r="O28">
        <v>90.182866666666769</v>
      </c>
      <c r="P28">
        <f t="shared" si="8"/>
        <v>145.96848934198226</v>
      </c>
      <c r="S28" t="s">
        <v>571</v>
      </c>
    </row>
    <row r="29" spans="1:23">
      <c r="A29" s="1">
        <v>28</v>
      </c>
      <c r="B29">
        <v>1322.4</v>
      </c>
      <c r="C29">
        <f t="shared" si="7"/>
        <v>1023.5852</v>
      </c>
      <c r="D29">
        <f t="shared" si="1"/>
        <v>5.46875E-2</v>
      </c>
      <c r="E29">
        <f t="shared" si="2"/>
        <v>5559.9715485175102</v>
      </c>
      <c r="F29">
        <f t="shared" si="3"/>
        <v>298.8148000000001</v>
      </c>
      <c r="G29" t="s">
        <v>34</v>
      </c>
      <c r="H29">
        <v>175.60114444444446</v>
      </c>
      <c r="I29">
        <f t="shared" si="0"/>
        <v>123.21365555555565</v>
      </c>
      <c r="J29">
        <f t="shared" si="9"/>
        <v>2.0871143375680683</v>
      </c>
      <c r="K29">
        <f t="shared" si="5"/>
        <v>16.599999999999909</v>
      </c>
      <c r="L29">
        <f t="shared" si="10"/>
        <v>1318.72</v>
      </c>
      <c r="M29">
        <f>AVERAGE(B29:B79)</f>
        <v>1259.8843137254901</v>
      </c>
      <c r="N29">
        <f t="shared" si="11"/>
        <v>0.48499999999989996</v>
      </c>
      <c r="O29">
        <v>99.405088888888884</v>
      </c>
      <c r="P29">
        <f t="shared" si="8"/>
        <v>208.71143375680683</v>
      </c>
      <c r="T29" t="s">
        <v>648</v>
      </c>
    </row>
    <row r="30" spans="1:23">
      <c r="A30" s="1">
        <v>29</v>
      </c>
      <c r="B30">
        <v>1339</v>
      </c>
      <c r="C30">
        <f t="shared" si="7"/>
        <v>1026.8361</v>
      </c>
      <c r="D30">
        <f t="shared" si="1"/>
        <v>5.6640625E-2</v>
      </c>
      <c r="E30">
        <f t="shared" si="2"/>
        <v>6518.7681574042681</v>
      </c>
      <c r="F30">
        <f t="shared" si="3"/>
        <v>312.16390000000001</v>
      </c>
      <c r="G30" t="s">
        <v>35</v>
      </c>
      <c r="H30">
        <v>183.85024444444448</v>
      </c>
      <c r="I30">
        <f t="shared" si="0"/>
        <v>128.31365555555553</v>
      </c>
      <c r="J30">
        <f t="shared" si="9"/>
        <v>1.2397311426437572</v>
      </c>
      <c r="K30">
        <f t="shared" si="5"/>
        <v>19.400000000000091</v>
      </c>
      <c r="L30">
        <f t="shared" si="10"/>
        <v>1313.8150000000001</v>
      </c>
      <c r="M30">
        <f>AVERAGE(B30:B79)</f>
        <v>1258.634</v>
      </c>
      <c r="N30">
        <f t="shared" si="11"/>
        <v>-4.9049999999999727</v>
      </c>
      <c r="O30">
        <v>123.21365555555565</v>
      </c>
      <c r="P30">
        <f t="shared" si="8"/>
        <v>123.97311426437571</v>
      </c>
    </row>
    <row r="31" spans="1:23">
      <c r="A31" s="1">
        <v>30</v>
      </c>
      <c r="B31">
        <v>1358.4</v>
      </c>
      <c r="C31">
        <f t="shared" si="7"/>
        <v>1030.087</v>
      </c>
      <c r="D31">
        <f t="shared" si="1"/>
        <v>5.859375E-2</v>
      </c>
      <c r="E31">
        <f t="shared" si="2"/>
        <v>7691.230555048377</v>
      </c>
      <c r="F31">
        <f t="shared" si="3"/>
        <v>328.3130000000001</v>
      </c>
      <c r="G31" t="s">
        <v>36</v>
      </c>
      <c r="H31">
        <v>187.5549</v>
      </c>
      <c r="I31">
        <f t="shared" si="0"/>
        <v>140.7581000000001</v>
      </c>
      <c r="J31">
        <f t="shared" si="9"/>
        <v>1.4281507656066026</v>
      </c>
      <c r="K31">
        <f t="shared" si="5"/>
        <v>-31</v>
      </c>
      <c r="L31">
        <f t="shared" si="10"/>
        <v>1307.3000000000002</v>
      </c>
      <c r="M31">
        <f>AVERAGE(B31:B81)</f>
        <v>1256.9725490196079</v>
      </c>
      <c r="N31">
        <f t="shared" si="11"/>
        <v>-6.5149999999998727</v>
      </c>
      <c r="O31">
        <v>128.31365555555553</v>
      </c>
      <c r="P31">
        <f t="shared" si="8"/>
        <v>142.81507656066026</v>
      </c>
    </row>
    <row r="32" spans="1:23">
      <c r="A32" s="1">
        <v>31</v>
      </c>
      <c r="B32">
        <v>1327.4</v>
      </c>
      <c r="C32">
        <f t="shared" si="7"/>
        <v>1033.3379</v>
      </c>
      <c r="D32">
        <f t="shared" si="1"/>
        <v>6.0546875E-2</v>
      </c>
      <c r="E32">
        <f t="shared" si="2"/>
        <v>7669.8368449118443</v>
      </c>
      <c r="F32">
        <f t="shared" si="3"/>
        <v>294.0621000000001</v>
      </c>
      <c r="G32" t="s">
        <v>37</v>
      </c>
      <c r="H32">
        <v>181.60400000000004</v>
      </c>
      <c r="I32">
        <f t="shared" si="0"/>
        <v>112.45810000000006</v>
      </c>
      <c r="J32">
        <f t="shared" si="9"/>
        <v>-2.3353924966099138</v>
      </c>
      <c r="K32">
        <f t="shared" si="5"/>
        <v>-4</v>
      </c>
      <c r="L32">
        <f t="shared" si="10"/>
        <v>1298.3000000000002</v>
      </c>
      <c r="M32">
        <f>AVERAGE(B32:B81)</f>
        <v>1254.9440000000002</v>
      </c>
      <c r="N32">
        <f t="shared" si="11"/>
        <v>-9</v>
      </c>
      <c r="O32">
        <v>140.7581000000001</v>
      </c>
      <c r="P32">
        <f t="shared" si="8"/>
        <v>-233.53924966099137</v>
      </c>
    </row>
    <row r="33" spans="1:22">
      <c r="A33" s="1">
        <v>32</v>
      </c>
      <c r="B33">
        <v>1323.4</v>
      </c>
      <c r="C33">
        <f t="shared" si="7"/>
        <v>1036.5888</v>
      </c>
      <c r="D33">
        <f t="shared" si="1"/>
        <v>6.25E-2</v>
      </c>
      <c r="E33">
        <f t="shared" si="2"/>
        <v>6798.7882549473525</v>
      </c>
      <c r="F33">
        <f t="shared" si="3"/>
        <v>286.8112000000001</v>
      </c>
      <c r="G33" t="s">
        <v>38</v>
      </c>
      <c r="H33">
        <v>174.28643333333338</v>
      </c>
      <c r="I33">
        <f t="shared" si="0"/>
        <v>112.52476666666672</v>
      </c>
      <c r="J33">
        <f t="shared" si="9"/>
        <v>-0.30225177572918238</v>
      </c>
      <c r="K33">
        <f t="shared" si="5"/>
        <v>34.099999999999909</v>
      </c>
      <c r="L33">
        <f t="shared" si="10"/>
        <v>1290.8200000000002</v>
      </c>
      <c r="M33">
        <f>AVERAGE(B33:B83)</f>
        <v>1252.3882352941177</v>
      </c>
      <c r="N33">
        <f t="shared" si="11"/>
        <v>-7.4800000000000182</v>
      </c>
      <c r="O33">
        <v>112.45810000000006</v>
      </c>
      <c r="P33">
        <f t="shared" si="8"/>
        <v>-30.225177572918238</v>
      </c>
    </row>
    <row r="34" spans="1:22">
      <c r="A34" s="1">
        <v>33</v>
      </c>
      <c r="B34">
        <v>1357.5</v>
      </c>
      <c r="C34">
        <f t="shared" si="7"/>
        <v>1039.8397</v>
      </c>
      <c r="D34">
        <f t="shared" si="1"/>
        <v>6.4453125E-2</v>
      </c>
      <c r="E34">
        <f t="shared" si="2"/>
        <v>6004.965055701854</v>
      </c>
      <c r="F34">
        <f t="shared" si="3"/>
        <v>317.66030000000001</v>
      </c>
      <c r="G34" t="s">
        <v>39</v>
      </c>
      <c r="H34">
        <v>168.29108888888885</v>
      </c>
      <c r="I34">
        <f t="shared" si="0"/>
        <v>149.36921111111116</v>
      </c>
      <c r="J34">
        <f t="shared" si="9"/>
        <v>2.5119705340699747</v>
      </c>
      <c r="K34">
        <f t="shared" si="5"/>
        <v>-13.099999999999909</v>
      </c>
      <c r="L34">
        <f t="shared" si="10"/>
        <v>1282.7450000000003</v>
      </c>
      <c r="M34">
        <f>AVERAGE(B34:B83)</f>
        <v>1250.9680000000001</v>
      </c>
      <c r="N34">
        <f t="shared" si="11"/>
        <v>-8.0749999999998181</v>
      </c>
      <c r="O34">
        <v>112.52476666666672</v>
      </c>
      <c r="P34">
        <f t="shared" si="8"/>
        <v>251.19705340699747</v>
      </c>
      <c r="R34" s="34" t="s">
        <v>605</v>
      </c>
    </row>
    <row r="35" spans="1:22">
      <c r="A35" s="1">
        <v>34</v>
      </c>
      <c r="B35">
        <v>1344.4</v>
      </c>
      <c r="C35">
        <f t="shared" si="7"/>
        <v>1043.0906</v>
      </c>
      <c r="D35">
        <f t="shared" si="1"/>
        <v>6.640625E-2</v>
      </c>
      <c r="E35">
        <f t="shared" si="2"/>
        <v>6636.3762111181486</v>
      </c>
      <c r="F35">
        <f t="shared" si="3"/>
        <v>301.3094000000001</v>
      </c>
      <c r="G35" t="s">
        <v>40</v>
      </c>
      <c r="H35">
        <v>163.41796666666673</v>
      </c>
      <c r="I35">
        <f t="shared" si="0"/>
        <v>137.89143333333337</v>
      </c>
      <c r="J35">
        <f t="shared" si="9"/>
        <v>-0.97441237726866325</v>
      </c>
      <c r="K35">
        <f t="shared" si="5"/>
        <v>-1.2000000000000455</v>
      </c>
      <c r="L35">
        <f t="shared" si="10"/>
        <v>1271.7400000000002</v>
      </c>
      <c r="M35">
        <f>AVERAGE(B35:B85)</f>
        <v>1248.4960784313728</v>
      </c>
      <c r="N35">
        <f t="shared" si="11"/>
        <v>-11.005000000000109</v>
      </c>
      <c r="O35">
        <v>149.36921111111116</v>
      </c>
      <c r="P35">
        <f t="shared" si="8"/>
        <v>-97.441237726866319</v>
      </c>
    </row>
    <row r="36" spans="1:22">
      <c r="A36" s="1">
        <v>35</v>
      </c>
      <c r="B36">
        <v>1343.2</v>
      </c>
      <c r="C36">
        <f t="shared" si="7"/>
        <v>1046.3415</v>
      </c>
      <c r="D36">
        <f t="shared" si="1"/>
        <v>6.8359375E-2</v>
      </c>
      <c r="E36">
        <f t="shared" si="2"/>
        <v>6259.6356319815659</v>
      </c>
      <c r="F36">
        <f t="shared" si="3"/>
        <v>296.85850000000005</v>
      </c>
      <c r="G36" t="s">
        <v>41</v>
      </c>
      <c r="H36">
        <v>168.63373333333334</v>
      </c>
      <c r="I36">
        <f t="shared" si="0"/>
        <v>128.22476666666671</v>
      </c>
      <c r="J36">
        <f t="shared" si="9"/>
        <v>-8.9338892197740133E-2</v>
      </c>
      <c r="K36">
        <f t="shared" si="5"/>
        <v>3</v>
      </c>
      <c r="L36">
        <f t="shared" si="10"/>
        <v>1261.2000000000003</v>
      </c>
      <c r="M36">
        <f>AVERAGE(B36:B85)</f>
        <v>1246.5780000000002</v>
      </c>
      <c r="N36">
        <f t="shared" si="11"/>
        <v>-10.539999999999964</v>
      </c>
      <c r="O36">
        <v>137.89143333333337</v>
      </c>
      <c r="P36">
        <f t="shared" si="8"/>
        <v>-8.933889219774013</v>
      </c>
    </row>
    <row r="37" spans="1:22">
      <c r="A37" s="1">
        <v>36</v>
      </c>
      <c r="B37">
        <v>1346.2</v>
      </c>
      <c r="C37">
        <f t="shared" si="7"/>
        <v>1049.5924</v>
      </c>
      <c r="D37">
        <f t="shared" si="1"/>
        <v>7.03125E-2</v>
      </c>
      <c r="E37">
        <f t="shared" si="2"/>
        <v>5391.9396721316771</v>
      </c>
      <c r="F37">
        <f t="shared" si="3"/>
        <v>296.60760000000005</v>
      </c>
      <c r="G37" t="s">
        <v>42</v>
      </c>
      <c r="H37">
        <v>175.06061111111109</v>
      </c>
      <c r="I37">
        <f t="shared" si="0"/>
        <v>121.54698888888896</v>
      </c>
      <c r="J37">
        <f t="shared" si="9"/>
        <v>0.2228495023027782</v>
      </c>
      <c r="K37">
        <f t="shared" si="5"/>
        <v>-20.299999999999955</v>
      </c>
      <c r="L37">
        <f t="shared" si="10"/>
        <v>1251.6250000000002</v>
      </c>
      <c r="M37">
        <f>AVERAGE(B37:B87)</f>
        <v>1245.6000000000004</v>
      </c>
      <c r="N37">
        <f t="shared" si="11"/>
        <v>-9.5750000000000455</v>
      </c>
      <c r="O37">
        <v>128.22476666666671</v>
      </c>
      <c r="P37">
        <f t="shared" si="8"/>
        <v>22.284950230277818</v>
      </c>
    </row>
    <row r="38" spans="1:22">
      <c r="A38" s="1">
        <v>37</v>
      </c>
      <c r="B38">
        <v>1325.9</v>
      </c>
      <c r="C38">
        <f t="shared" si="7"/>
        <v>1052.8433</v>
      </c>
      <c r="D38">
        <f t="shared" si="1"/>
        <v>7.2265625E-2</v>
      </c>
      <c r="E38">
        <f t="shared" si="2"/>
        <v>6123.2175236937574</v>
      </c>
      <c r="F38">
        <f t="shared" si="3"/>
        <v>273.05670000000009</v>
      </c>
      <c r="G38" t="s">
        <v>43</v>
      </c>
      <c r="H38">
        <v>175.60114444444446</v>
      </c>
      <c r="I38">
        <f t="shared" si="0"/>
        <v>97.455555555555634</v>
      </c>
      <c r="J38">
        <f t="shared" si="9"/>
        <v>-1.5310355230409498</v>
      </c>
      <c r="K38">
        <f t="shared" si="5"/>
        <v>0.79999999999995453</v>
      </c>
      <c r="L38">
        <f t="shared" si="10"/>
        <v>1242.9850000000001</v>
      </c>
      <c r="M38">
        <f>AVERAGE(B38:B87)</f>
        <v>1243.5880000000002</v>
      </c>
      <c r="N38">
        <f t="shared" si="11"/>
        <v>-8.6400000000001</v>
      </c>
      <c r="O38">
        <v>121.54698888888896</v>
      </c>
      <c r="P38">
        <f t="shared" si="8"/>
        <v>-153.10355230409499</v>
      </c>
    </row>
    <row r="39" spans="1:22">
      <c r="A39" s="1">
        <v>38</v>
      </c>
      <c r="B39">
        <v>1326.7</v>
      </c>
      <c r="C39">
        <f t="shared" si="7"/>
        <v>1056.0942</v>
      </c>
      <c r="D39">
        <f t="shared" si="1"/>
        <v>7.421875E-2</v>
      </c>
      <c r="E39">
        <f t="shared" si="2"/>
        <v>6796.5698214355116</v>
      </c>
      <c r="F39">
        <f t="shared" si="3"/>
        <v>270.60580000000004</v>
      </c>
      <c r="G39" t="s">
        <v>44</v>
      </c>
      <c r="H39">
        <v>183.85024444444448</v>
      </c>
      <c r="I39">
        <f t="shared" si="0"/>
        <v>86.75555555555556</v>
      </c>
      <c r="J39">
        <f t="shared" si="9"/>
        <v>6.0299992462497509E-2</v>
      </c>
      <c r="K39">
        <f t="shared" si="5"/>
        <v>7.7999999999999545</v>
      </c>
      <c r="L39">
        <f t="shared" si="10"/>
        <v>1236.5000000000002</v>
      </c>
      <c r="M39">
        <f>AVERAGE(B39:B89)</f>
        <v>1243.9039215686275</v>
      </c>
      <c r="N39">
        <f t="shared" si="11"/>
        <v>-6.4849999999999</v>
      </c>
      <c r="O39">
        <v>97.455555555555634</v>
      </c>
      <c r="P39">
        <f t="shared" si="8"/>
        <v>6.0299992462497514</v>
      </c>
    </row>
    <row r="40" spans="1:22">
      <c r="A40" s="1">
        <v>39</v>
      </c>
      <c r="B40">
        <v>1334.5</v>
      </c>
      <c r="C40">
        <f t="shared" si="7"/>
        <v>1059.3451</v>
      </c>
      <c r="D40">
        <f t="shared" si="1"/>
        <v>7.6171875E-2</v>
      </c>
      <c r="E40">
        <f t="shared" si="2"/>
        <v>6447.2500565023456</v>
      </c>
      <c r="F40">
        <f t="shared" si="3"/>
        <v>275.1549</v>
      </c>
      <c r="G40" t="s">
        <v>45</v>
      </c>
      <c r="H40">
        <v>187.5549</v>
      </c>
      <c r="I40">
        <f t="shared" si="0"/>
        <v>87.6</v>
      </c>
      <c r="J40">
        <f t="shared" si="9"/>
        <v>0.58448857249905994</v>
      </c>
      <c r="K40">
        <f t="shared" si="5"/>
        <v>-24.299999999999955</v>
      </c>
      <c r="L40">
        <f t="shared" si="10"/>
        <v>1230.4100000000003</v>
      </c>
      <c r="M40">
        <f>AVERAGE(B40:B89)</f>
        <v>1242.248</v>
      </c>
      <c r="N40">
        <f t="shared" si="11"/>
        <v>-6.0899999999999181</v>
      </c>
      <c r="O40">
        <v>86.75555555555556</v>
      </c>
      <c r="P40">
        <f t="shared" si="8"/>
        <v>58.448857249905991</v>
      </c>
    </row>
    <row r="41" spans="1:22">
      <c r="A41" s="1">
        <v>40</v>
      </c>
      <c r="B41">
        <v>1310.2</v>
      </c>
      <c r="C41">
        <f t="shared" si="7"/>
        <v>1062.596</v>
      </c>
      <c r="D41">
        <f t="shared" si="1"/>
        <v>7.8125E-2</v>
      </c>
      <c r="E41">
        <f t="shared" si="2"/>
        <v>6519.0487926661945</v>
      </c>
      <c r="F41">
        <f t="shared" si="3"/>
        <v>247.60400000000004</v>
      </c>
      <c r="G41" t="s">
        <v>46</v>
      </c>
      <c r="H41">
        <v>181.60400000000004</v>
      </c>
      <c r="I41">
        <f t="shared" si="0"/>
        <v>66</v>
      </c>
      <c r="J41">
        <f t="shared" si="9"/>
        <v>-1.8546786750114452</v>
      </c>
      <c r="K41">
        <f t="shared" si="5"/>
        <v>31.5</v>
      </c>
      <c r="L41">
        <f t="shared" si="10"/>
        <v>1223.105</v>
      </c>
      <c r="M41">
        <f>AVERAGE(B41:B91)</f>
        <v>1243.2588235294118</v>
      </c>
      <c r="N41">
        <f t="shared" si="11"/>
        <v>-7.305000000000291</v>
      </c>
      <c r="O41">
        <v>87.6</v>
      </c>
      <c r="P41">
        <f t="shared" si="8"/>
        <v>-185.46786750114453</v>
      </c>
      <c r="V41" t="s">
        <v>632</v>
      </c>
    </row>
    <row r="42" spans="1:22">
      <c r="A42" s="1">
        <v>41</v>
      </c>
      <c r="B42">
        <v>1341.7</v>
      </c>
      <c r="C42">
        <f t="shared" si="7"/>
        <v>1065.8469</v>
      </c>
      <c r="D42">
        <f t="shared" si="1"/>
        <v>8.0078125E-2</v>
      </c>
      <c r="E42">
        <f t="shared" si="2"/>
        <v>4906.2463387442194</v>
      </c>
      <c r="F42">
        <f t="shared" si="3"/>
        <v>275.85310000000004</v>
      </c>
      <c r="G42" t="s">
        <v>47</v>
      </c>
      <c r="H42">
        <v>174.28643333333338</v>
      </c>
      <c r="I42">
        <f t="shared" si="0"/>
        <v>101.56666666666666</v>
      </c>
      <c r="J42">
        <f t="shared" si="9"/>
        <v>2.3477677573227993</v>
      </c>
      <c r="K42">
        <f t="shared" si="5"/>
        <v>-24.600000000000136</v>
      </c>
      <c r="L42">
        <f t="shared" si="10"/>
        <v>1218.6350000000002</v>
      </c>
      <c r="M42">
        <f>AVERAGE(B42:B91)</f>
        <v>1241.92</v>
      </c>
      <c r="N42">
        <f t="shared" si="11"/>
        <v>-4.4699999999997999</v>
      </c>
      <c r="O42">
        <v>66</v>
      </c>
      <c r="P42">
        <f t="shared" si="8"/>
        <v>234.77677573227993</v>
      </c>
    </row>
    <row r="43" spans="1:22">
      <c r="A43" s="1">
        <v>42</v>
      </c>
      <c r="B43">
        <v>1317.1</v>
      </c>
      <c r="C43">
        <f t="shared" si="7"/>
        <v>1069.0978</v>
      </c>
      <c r="D43">
        <f t="shared" si="1"/>
        <v>8.203125E-2</v>
      </c>
      <c r="E43">
        <f t="shared" si="2"/>
        <v>4811.2772896904908</v>
      </c>
      <c r="F43">
        <f t="shared" si="3"/>
        <v>248.0021999999999</v>
      </c>
      <c r="G43" t="s">
        <v>48</v>
      </c>
      <c r="H43">
        <v>168.29108888888885</v>
      </c>
      <c r="I43">
        <f t="shared" si="0"/>
        <v>79.711111111111052</v>
      </c>
      <c r="J43">
        <f t="shared" si="9"/>
        <v>-1.8677397312277078</v>
      </c>
      <c r="K43">
        <f t="shared" si="5"/>
        <v>-65.199999999999818</v>
      </c>
      <c r="L43">
        <f t="shared" si="10"/>
        <v>1213.3450000000003</v>
      </c>
      <c r="M43">
        <f>AVERAGE(B43:B93)</f>
        <v>1243.7392156862745</v>
      </c>
      <c r="N43">
        <f t="shared" si="11"/>
        <v>-5.2899999999999636</v>
      </c>
      <c r="O43">
        <v>101.56666666666666</v>
      </c>
      <c r="P43">
        <f t="shared" si="8"/>
        <v>-186.77397312277077</v>
      </c>
    </row>
    <row r="44" spans="1:22">
      <c r="A44" s="1">
        <v>43</v>
      </c>
      <c r="B44">
        <v>1251.9000000000001</v>
      </c>
      <c r="C44">
        <f t="shared" si="7"/>
        <v>1072.3487</v>
      </c>
      <c r="D44">
        <f t="shared" si="1"/>
        <v>8.3984375E-2</v>
      </c>
      <c r="E44">
        <f t="shared" si="2"/>
        <v>5552.0765375996289</v>
      </c>
      <c r="F44">
        <f t="shared" si="3"/>
        <v>179.55130000000008</v>
      </c>
      <c r="G44" t="s">
        <v>49</v>
      </c>
      <c r="H44">
        <v>163.41796666666673</v>
      </c>
      <c r="I44">
        <f t="shared" si="0"/>
        <v>16.133333333333354</v>
      </c>
      <c r="J44">
        <f t="shared" si="9"/>
        <v>-5.2080837127565953</v>
      </c>
      <c r="K44">
        <f t="shared" si="5"/>
        <v>3.5999999999999091</v>
      </c>
      <c r="L44">
        <f t="shared" si="10"/>
        <v>1209.4450000000002</v>
      </c>
      <c r="M44">
        <f>AVERAGE(B44:B93)</f>
        <v>1242.2720000000002</v>
      </c>
      <c r="N44">
        <f t="shared" si="11"/>
        <v>-3.9000000000000909</v>
      </c>
      <c r="O44">
        <v>79.711111111111052</v>
      </c>
      <c r="P44">
        <f t="shared" si="8"/>
        <v>-520.80837127565951</v>
      </c>
    </row>
    <row r="45" spans="1:22">
      <c r="A45" s="1">
        <v>44</v>
      </c>
      <c r="B45">
        <v>1255.5</v>
      </c>
      <c r="C45">
        <f t="shared" si="7"/>
        <v>1075.5996</v>
      </c>
      <c r="D45">
        <f t="shared" si="1"/>
        <v>8.59375E-2</v>
      </c>
      <c r="E45">
        <f t="shared" si="2"/>
        <v>3863.9640479651839</v>
      </c>
      <c r="F45">
        <f t="shared" si="3"/>
        <v>179.90039999999999</v>
      </c>
      <c r="G45" t="s">
        <v>50</v>
      </c>
      <c r="H45">
        <v>168.63373333333334</v>
      </c>
      <c r="I45">
        <f t="shared" si="0"/>
        <v>11.266666666666652</v>
      </c>
      <c r="J45">
        <f t="shared" si="9"/>
        <v>0.28673835125447306</v>
      </c>
      <c r="K45">
        <f t="shared" si="5"/>
        <v>12.200000000000045</v>
      </c>
      <c r="L45">
        <f t="shared" si="10"/>
        <v>1209.7649999999999</v>
      </c>
      <c r="M45">
        <f>AVERAGE(B45:B95)</f>
        <v>1244</v>
      </c>
      <c r="N45">
        <f t="shared" si="11"/>
        <v>0.31999999999970896</v>
      </c>
      <c r="O45">
        <v>16.133333333333354</v>
      </c>
      <c r="P45">
        <f t="shared" si="8"/>
        <v>28.673835125447305</v>
      </c>
    </row>
    <row r="46" spans="1:22">
      <c r="A46" s="1">
        <v>45</v>
      </c>
      <c r="B46">
        <v>1267.7</v>
      </c>
      <c r="C46">
        <f t="shared" si="7"/>
        <v>1078.8505</v>
      </c>
      <c r="D46">
        <f t="shared" si="1"/>
        <v>8.7890625E-2</v>
      </c>
      <c r="E46">
        <f t="shared" si="2"/>
        <v>4388.7329779601114</v>
      </c>
      <c r="F46">
        <f t="shared" si="3"/>
        <v>188.84950000000003</v>
      </c>
      <c r="G46" t="s">
        <v>51</v>
      </c>
      <c r="H46">
        <v>175.06061111111109</v>
      </c>
      <c r="I46">
        <f t="shared" si="0"/>
        <v>13.788888888888948</v>
      </c>
      <c r="J46">
        <f t="shared" si="9"/>
        <v>0.96237280113591894</v>
      </c>
      <c r="K46">
        <f t="shared" si="5"/>
        <v>9.0999999999999091</v>
      </c>
      <c r="L46">
        <f t="shared" si="10"/>
        <v>1208.3150000000001</v>
      </c>
      <c r="M46">
        <f>AVERAGE(B46:B95)</f>
        <v>1243.77</v>
      </c>
      <c r="N46">
        <f t="shared" si="11"/>
        <v>-1.4499999999998181</v>
      </c>
      <c r="O46">
        <v>11.266666666666652</v>
      </c>
      <c r="P46">
        <f t="shared" si="8"/>
        <v>96.237280113591893</v>
      </c>
    </row>
    <row r="47" spans="1:22">
      <c r="A47" s="1">
        <v>46</v>
      </c>
      <c r="B47">
        <v>1276.8</v>
      </c>
      <c r="C47">
        <f t="shared" si="7"/>
        <v>1082.1014</v>
      </c>
      <c r="D47">
        <f t="shared" si="1"/>
        <v>8.984375E-2</v>
      </c>
      <c r="E47">
        <f t="shared" si="2"/>
        <v>4846.7435066136768</v>
      </c>
      <c r="F47">
        <f t="shared" si="3"/>
        <v>194.69859999999994</v>
      </c>
      <c r="G47" t="s">
        <v>52</v>
      </c>
      <c r="H47">
        <v>175.60114444444446</v>
      </c>
      <c r="I47">
        <f t="shared" si="0"/>
        <v>19.097455555555484</v>
      </c>
      <c r="J47">
        <f t="shared" si="9"/>
        <v>0.71271929824560698</v>
      </c>
      <c r="K47">
        <f t="shared" si="5"/>
        <v>27.700000000000045</v>
      </c>
      <c r="L47">
        <f t="shared" si="10"/>
        <v>1205.0000000000002</v>
      </c>
      <c r="M47">
        <f>AVERAGE(B47:B97)</f>
        <v>1245.1039215686276</v>
      </c>
      <c r="N47">
        <f t="shared" si="11"/>
        <v>-3.3149999999998272</v>
      </c>
      <c r="O47">
        <v>13.788888888888948</v>
      </c>
      <c r="P47">
        <f t="shared" si="8"/>
        <v>71.271929824560701</v>
      </c>
    </row>
    <row r="48" spans="1:22">
      <c r="A48" s="1">
        <v>47</v>
      </c>
      <c r="B48">
        <v>1304.5</v>
      </c>
      <c r="C48">
        <f t="shared" si="7"/>
        <v>1085.3523</v>
      </c>
      <c r="D48">
        <f t="shared" si="1"/>
        <v>9.1796875E-2</v>
      </c>
      <c r="E48">
        <f t="shared" si="2"/>
        <v>4421.7431153856996</v>
      </c>
      <c r="F48">
        <f t="shared" si="3"/>
        <v>219.14769999999999</v>
      </c>
      <c r="G48" t="s">
        <v>53</v>
      </c>
      <c r="H48">
        <v>183.85024444444448</v>
      </c>
      <c r="I48">
        <f t="shared" si="0"/>
        <v>35.297455555555501</v>
      </c>
      <c r="J48">
        <f t="shared" si="9"/>
        <v>2.12341893445765</v>
      </c>
      <c r="K48">
        <f t="shared" si="5"/>
        <v>-80.200000000000045</v>
      </c>
      <c r="L48">
        <f t="shared" si="10"/>
        <v>1202.67</v>
      </c>
      <c r="M48">
        <f>AVERAGE(B48:B97)</f>
        <v>1244.4699999999998</v>
      </c>
      <c r="N48">
        <f t="shared" si="11"/>
        <v>-2.3300000000001546</v>
      </c>
      <c r="O48">
        <v>19.097455555555484</v>
      </c>
      <c r="P48">
        <f t="shared" si="8"/>
        <v>212.34189344576498</v>
      </c>
    </row>
    <row r="49" spans="1:19">
      <c r="A49" s="1">
        <v>48</v>
      </c>
      <c r="B49">
        <v>1224.3</v>
      </c>
      <c r="C49">
        <f t="shared" si="7"/>
        <v>1088.6032</v>
      </c>
      <c r="D49">
        <f t="shared" si="1"/>
        <v>9.375E-2</v>
      </c>
      <c r="E49">
        <f t="shared" si="2"/>
        <v>2659.2221556879285</v>
      </c>
      <c r="F49">
        <f t="shared" si="3"/>
        <v>135.69679999999994</v>
      </c>
      <c r="G49" t="s">
        <v>54</v>
      </c>
      <c r="H49">
        <v>187.5549</v>
      </c>
      <c r="I49">
        <f t="shared" si="0"/>
        <v>-51.858100000000064</v>
      </c>
      <c r="J49">
        <f t="shared" si="9"/>
        <v>-6.5506820223801405</v>
      </c>
      <c r="K49">
        <f t="shared" si="5"/>
        <v>-15.599999999999909</v>
      </c>
      <c r="L49">
        <f t="shared" si="10"/>
        <v>1199.8700000000001</v>
      </c>
      <c r="M49">
        <f>AVERAGE(B49:B99)</f>
        <v>1244.535294117647</v>
      </c>
      <c r="N49">
        <f t="shared" si="11"/>
        <v>-2.7999999999999545</v>
      </c>
      <c r="O49">
        <v>35.297455555555501</v>
      </c>
      <c r="P49">
        <f t="shared" si="8"/>
        <v>-655.06820223801401</v>
      </c>
    </row>
    <row r="50" spans="1:19">
      <c r="A50" s="1">
        <v>49</v>
      </c>
      <c r="B50">
        <v>1208.7</v>
      </c>
      <c r="C50">
        <f t="shared" si="7"/>
        <v>1091.8541</v>
      </c>
      <c r="D50">
        <f t="shared" si="1"/>
        <v>9.5703125E-2</v>
      </c>
      <c r="E50">
        <f t="shared" si="2"/>
        <v>4237.9188788223328</v>
      </c>
      <c r="F50">
        <f t="shared" si="3"/>
        <v>116.84590000000003</v>
      </c>
      <c r="G50" t="s">
        <v>55</v>
      </c>
      <c r="H50">
        <v>181.60400000000004</v>
      </c>
      <c r="I50">
        <f t="shared" si="0"/>
        <v>-64.758100000000013</v>
      </c>
      <c r="J50">
        <f t="shared" si="9"/>
        <v>-1.2906428394142391</v>
      </c>
      <c r="K50">
        <f t="shared" si="5"/>
        <v>-30.299999999999955</v>
      </c>
      <c r="L50">
        <f t="shared" si="10"/>
        <v>1201.2150000000001</v>
      </c>
      <c r="M50">
        <f>AVERAGE(B50:B99)</f>
        <v>1244.94</v>
      </c>
      <c r="N50">
        <f t="shared" si="11"/>
        <v>1.3450000000000273</v>
      </c>
      <c r="O50">
        <v>-51.858100000000064</v>
      </c>
      <c r="P50">
        <f t="shared" si="8"/>
        <v>-129.06428394142389</v>
      </c>
    </row>
    <row r="51" spans="1:19">
      <c r="A51" s="1">
        <v>50</v>
      </c>
      <c r="B51">
        <v>1178.4000000000001</v>
      </c>
      <c r="C51">
        <f t="shared" si="7"/>
        <v>1095.105</v>
      </c>
      <c r="D51">
        <f t="shared" si="1"/>
        <v>9.765625E-2</v>
      </c>
      <c r="E51">
        <f t="shared" si="2"/>
        <v>4442.8920355530681</v>
      </c>
      <c r="F51">
        <f t="shared" si="3"/>
        <v>83.295000000000073</v>
      </c>
      <c r="G51" t="s">
        <v>56</v>
      </c>
      <c r="H51">
        <v>174.28643333333338</v>
      </c>
      <c r="I51">
        <f t="shared" si="0"/>
        <v>-90.991433333333305</v>
      </c>
      <c r="J51">
        <f t="shared" si="9"/>
        <v>-2.5712830957230102</v>
      </c>
      <c r="K51">
        <f t="shared" si="5"/>
        <v>-0.60000000000013642</v>
      </c>
      <c r="L51">
        <f t="shared" si="10"/>
        <v>1203.645</v>
      </c>
      <c r="M51">
        <f>AVERAGE(B51:B101)</f>
        <v>1246.7</v>
      </c>
      <c r="N51">
        <f t="shared" si="11"/>
        <v>2.4299999999998363</v>
      </c>
      <c r="O51">
        <v>-64.758100000000013</v>
      </c>
      <c r="P51">
        <f t="shared" si="8"/>
        <v>-257.12830957230102</v>
      </c>
    </row>
    <row r="52" spans="1:19">
      <c r="A52" s="1">
        <v>51</v>
      </c>
      <c r="B52">
        <v>1177.8</v>
      </c>
      <c r="C52">
        <f t="shared" si="7"/>
        <v>1098.3559</v>
      </c>
      <c r="D52">
        <f t="shared" si="1"/>
        <v>9.9609375E-2</v>
      </c>
      <c r="E52">
        <f t="shared" si="2"/>
        <v>4494.1385511837843</v>
      </c>
      <c r="F52">
        <f t="shared" si="3"/>
        <v>79.444099999999935</v>
      </c>
      <c r="G52" t="s">
        <v>57</v>
      </c>
      <c r="H52">
        <v>168.29108888888885</v>
      </c>
      <c r="I52">
        <f t="shared" si="0"/>
        <v>-88.846988888888916</v>
      </c>
      <c r="J52">
        <f t="shared" si="9"/>
        <v>-5.0942435048406905E-2</v>
      </c>
      <c r="K52">
        <f t="shared" si="5"/>
        <v>-15.899999999999864</v>
      </c>
      <c r="L52">
        <f t="shared" si="10"/>
        <v>1209.1500000000001</v>
      </c>
      <c r="M52">
        <f>AVERAGE(B52:B101)</f>
        <v>1248.0659999999998</v>
      </c>
      <c r="N52">
        <f t="shared" si="11"/>
        <v>5.5050000000001091</v>
      </c>
      <c r="O52">
        <v>-90.991433333333305</v>
      </c>
      <c r="P52">
        <f t="shared" si="8"/>
        <v>-5.0942435048406907</v>
      </c>
    </row>
    <row r="53" spans="1:19">
      <c r="A53" s="1">
        <v>52</v>
      </c>
      <c r="B53">
        <v>1161.9000000000001</v>
      </c>
      <c r="C53">
        <f t="shared" si="7"/>
        <v>1101.6068</v>
      </c>
      <c r="D53">
        <f t="shared" si="1"/>
        <v>0.1015625</v>
      </c>
      <c r="E53">
        <f t="shared" si="2"/>
        <v>4032.9548307070449</v>
      </c>
      <c r="F53">
        <f t="shared" si="3"/>
        <v>60.29320000000007</v>
      </c>
      <c r="G53" t="s">
        <v>58</v>
      </c>
      <c r="H53">
        <v>163.41796666666673</v>
      </c>
      <c r="I53">
        <f t="shared" si="0"/>
        <v>-103.12476666666666</v>
      </c>
      <c r="J53">
        <f t="shared" si="9"/>
        <v>-1.3684482313451987</v>
      </c>
      <c r="K53">
        <f t="shared" si="5"/>
        <v>-24.5</v>
      </c>
      <c r="L53">
        <f t="shared" si="10"/>
        <v>1214.7149999999999</v>
      </c>
      <c r="M53">
        <f>AVERAGE(B53:B103)</f>
        <v>1251.1627450980393</v>
      </c>
      <c r="N53">
        <f t="shared" si="11"/>
        <v>5.5649999999998272</v>
      </c>
      <c r="O53">
        <v>-88.846988888888916</v>
      </c>
      <c r="P53">
        <f t="shared" si="8"/>
        <v>-136.84482313451986</v>
      </c>
    </row>
    <row r="54" spans="1:19">
      <c r="A54" s="1">
        <v>53</v>
      </c>
      <c r="B54">
        <v>1137.4000000000001</v>
      </c>
      <c r="C54">
        <f t="shared" si="7"/>
        <v>1104.8577</v>
      </c>
      <c r="D54">
        <f t="shared" si="1"/>
        <v>0.103515625</v>
      </c>
      <c r="E54">
        <f t="shared" si="2"/>
        <v>4314.7715657703302</v>
      </c>
      <c r="F54">
        <f t="shared" si="3"/>
        <v>32.542300000000068</v>
      </c>
      <c r="G54" t="s">
        <v>59</v>
      </c>
      <c r="H54">
        <v>168.63373333333334</v>
      </c>
      <c r="I54">
        <f t="shared" si="0"/>
        <v>-136.09143333333327</v>
      </c>
      <c r="J54">
        <f t="shared" si="9"/>
        <v>-2.1540355196061194</v>
      </c>
      <c r="K54">
        <f t="shared" si="5"/>
        <v>-3.8000000000001819</v>
      </c>
      <c r="L54">
        <f t="shared" si="10"/>
        <v>1220.0349999999999</v>
      </c>
      <c r="M54">
        <f>AVERAGE(B54:B103)</f>
        <v>1252.9480000000001</v>
      </c>
      <c r="N54">
        <f t="shared" si="11"/>
        <v>5.3199999999999363</v>
      </c>
      <c r="O54">
        <v>-103.12476666666666</v>
      </c>
      <c r="P54">
        <f t="shared" si="8"/>
        <v>-215.40355196061194</v>
      </c>
    </row>
    <row r="55" spans="1:19">
      <c r="A55" s="1">
        <v>54</v>
      </c>
      <c r="B55">
        <v>1133.5999999999999</v>
      </c>
      <c r="C55">
        <f t="shared" si="7"/>
        <v>1108.1086</v>
      </c>
      <c r="D55">
        <f t="shared" si="1"/>
        <v>0.10546875</v>
      </c>
      <c r="E55">
        <f t="shared" si="2"/>
        <v>3834.1844115217355</v>
      </c>
      <c r="F55">
        <f t="shared" si="3"/>
        <v>25.491399999999885</v>
      </c>
      <c r="G55" t="s">
        <v>60</v>
      </c>
      <c r="H55">
        <v>175.06061111111109</v>
      </c>
      <c r="I55">
        <f t="shared" si="0"/>
        <v>-149.5692111111112</v>
      </c>
      <c r="J55">
        <f t="shared" si="9"/>
        <v>-0.33521524347214027</v>
      </c>
      <c r="K55">
        <f t="shared" si="5"/>
        <v>18.100000000000136</v>
      </c>
      <c r="L55">
        <f t="shared" si="10"/>
        <v>1224.51</v>
      </c>
      <c r="M55">
        <f>AVERAGE(B55:B105)</f>
        <v>1255.7</v>
      </c>
      <c r="N55">
        <f t="shared" si="11"/>
        <v>4.4750000000001364</v>
      </c>
      <c r="O55">
        <v>-136.09143333333327</v>
      </c>
      <c r="P55">
        <f t="shared" si="8"/>
        <v>-33.521524347214026</v>
      </c>
    </row>
    <row r="56" spans="1:19">
      <c r="A56" s="1">
        <v>55</v>
      </c>
      <c r="B56">
        <v>1151.7</v>
      </c>
      <c r="C56">
        <f t="shared" si="7"/>
        <v>1111.3595</v>
      </c>
      <c r="D56">
        <f t="shared" si="1"/>
        <v>0.107421875</v>
      </c>
      <c r="E56">
        <f t="shared" si="2"/>
        <v>3520.175482793305</v>
      </c>
      <c r="F56">
        <f t="shared" si="3"/>
        <v>40.34050000000002</v>
      </c>
      <c r="G56" t="s">
        <v>61</v>
      </c>
      <c r="H56">
        <v>175.60114444444446</v>
      </c>
      <c r="I56">
        <f t="shared" si="0"/>
        <v>-135.26064444444444</v>
      </c>
      <c r="J56">
        <f t="shared" si="9"/>
        <v>1.5715898237388326</v>
      </c>
      <c r="K56">
        <f t="shared" si="5"/>
        <v>21.700000000000045</v>
      </c>
      <c r="L56">
        <f t="shared" si="10"/>
        <v>1229.2149999999999</v>
      </c>
      <c r="M56">
        <f>AVERAGE(B56:B105)</f>
        <v>1258.1420000000001</v>
      </c>
      <c r="N56">
        <f t="shared" si="11"/>
        <v>4.7049999999999272</v>
      </c>
      <c r="O56">
        <v>-149.5692111111112</v>
      </c>
      <c r="P56">
        <f t="shared" si="8"/>
        <v>157.15898237388325</v>
      </c>
    </row>
    <row r="57" spans="1:19">
      <c r="A57" s="1">
        <v>56</v>
      </c>
      <c r="B57">
        <v>1173.4000000000001</v>
      </c>
      <c r="C57">
        <f t="shared" si="7"/>
        <v>1114.6104</v>
      </c>
      <c r="D57">
        <f t="shared" si="1"/>
        <v>0.109375</v>
      </c>
      <c r="E57">
        <f t="shared" si="2"/>
        <v>3054.9143341662111</v>
      </c>
      <c r="F57">
        <f t="shared" si="3"/>
        <v>58.789600000000064</v>
      </c>
      <c r="G57" t="s">
        <v>62</v>
      </c>
      <c r="H57">
        <v>183.85024444444448</v>
      </c>
      <c r="I57">
        <f t="shared" si="0"/>
        <v>-125.06064444444442</v>
      </c>
      <c r="J57">
        <f t="shared" si="9"/>
        <v>1.8493267427987083</v>
      </c>
      <c r="K57">
        <f t="shared" si="5"/>
        <v>22.799999999999955</v>
      </c>
      <c r="L57">
        <f t="shared" si="10"/>
        <v>1234.31</v>
      </c>
      <c r="M57">
        <f>AVERAGE(B57:B107)</f>
        <v>1260.6215686274511</v>
      </c>
      <c r="N57">
        <f t="shared" si="11"/>
        <v>5.0950000000000273</v>
      </c>
      <c r="O57">
        <v>-135.26064444444444</v>
      </c>
      <c r="P57">
        <f t="shared" si="8"/>
        <v>184.93267427987084</v>
      </c>
    </row>
    <row r="58" spans="1:19">
      <c r="A58" s="1">
        <v>57</v>
      </c>
      <c r="B58">
        <v>1196.2</v>
      </c>
      <c r="C58">
        <f t="shared" si="7"/>
        <v>1117.8613</v>
      </c>
      <c r="D58">
        <f t="shared" si="1"/>
        <v>0.111328125</v>
      </c>
      <c r="E58">
        <f t="shared" si="2"/>
        <v>3957.9849064307896</v>
      </c>
      <c r="F58">
        <f t="shared" si="3"/>
        <v>78.338700000000017</v>
      </c>
      <c r="G58" t="s">
        <v>63</v>
      </c>
      <c r="H58">
        <v>187.5549</v>
      </c>
      <c r="I58">
        <f t="shared" si="0"/>
        <v>-109.21619999999999</v>
      </c>
      <c r="J58">
        <f t="shared" si="9"/>
        <v>1.9060357799699008</v>
      </c>
      <c r="K58">
        <f t="shared" si="5"/>
        <v>8.7000000000000455</v>
      </c>
      <c r="L58">
        <f t="shared" si="10"/>
        <v>1239.0449999999998</v>
      </c>
      <c r="M58">
        <f>AVERAGE(B58:B107)</f>
        <v>1262.3660000000002</v>
      </c>
      <c r="N58">
        <f t="shared" si="11"/>
        <v>4.7349999999999</v>
      </c>
      <c r="O58">
        <v>-125.06064444444442</v>
      </c>
      <c r="P58">
        <f t="shared" si="8"/>
        <v>190.60357799699008</v>
      </c>
      <c r="R58" s="7" t="s">
        <v>521</v>
      </c>
      <c r="S58" t="s">
        <v>676</v>
      </c>
    </row>
    <row r="59" spans="1:19">
      <c r="A59" s="1">
        <v>58</v>
      </c>
      <c r="B59">
        <v>1204.9000000000001</v>
      </c>
      <c r="C59">
        <f t="shared" si="7"/>
        <v>1121.1122</v>
      </c>
      <c r="D59">
        <f t="shared" si="1"/>
        <v>0.11328125</v>
      </c>
      <c r="E59">
        <f t="shared" si="2"/>
        <v>3463.346726920222</v>
      </c>
      <c r="F59">
        <f t="shared" si="3"/>
        <v>83.787800000000061</v>
      </c>
      <c r="G59" t="s">
        <v>64</v>
      </c>
      <c r="H59">
        <v>181.60400000000004</v>
      </c>
      <c r="I59">
        <f t="shared" si="0"/>
        <v>-97.816199999999981</v>
      </c>
      <c r="J59">
        <f t="shared" si="9"/>
        <v>0.7220516225412934</v>
      </c>
      <c r="K59">
        <f t="shared" si="5"/>
        <v>-16.5</v>
      </c>
      <c r="L59">
        <f t="shared" si="10"/>
        <v>1243.2450000000001</v>
      </c>
      <c r="M59">
        <f>AVERAGE(B59:B109)</f>
        <v>1265.7588235294122</v>
      </c>
      <c r="N59">
        <f t="shared" si="11"/>
        <v>4.2000000000002728</v>
      </c>
      <c r="O59">
        <v>-109.21619999999999</v>
      </c>
      <c r="P59">
        <f t="shared" si="8"/>
        <v>72.205162254129334</v>
      </c>
      <c r="S59" t="s">
        <v>677</v>
      </c>
    </row>
    <row r="60" spans="1:19">
      <c r="A60" s="1">
        <v>59</v>
      </c>
      <c r="B60">
        <v>1188.4000000000001</v>
      </c>
      <c r="C60">
        <f t="shared" si="7"/>
        <v>1124.3631</v>
      </c>
      <c r="D60">
        <f t="shared" si="1"/>
        <v>0.115234375</v>
      </c>
      <c r="E60">
        <f t="shared" si="2"/>
        <v>4016.8749803832529</v>
      </c>
      <c r="F60">
        <f t="shared" si="3"/>
        <v>64.03690000000006</v>
      </c>
      <c r="G60" t="s">
        <v>65</v>
      </c>
      <c r="H60">
        <v>174.28643333333338</v>
      </c>
      <c r="I60">
        <f t="shared" si="0"/>
        <v>-110.24953333333332</v>
      </c>
      <c r="J60">
        <f t="shared" si="9"/>
        <v>-1.3884214069336922</v>
      </c>
      <c r="K60">
        <f t="shared" si="5"/>
        <v>32.399999999999864</v>
      </c>
      <c r="L60">
        <f t="shared" si="10"/>
        <v>1246.5700000000002</v>
      </c>
      <c r="M60">
        <f>AVERAGE(B60:B109)</f>
        <v>1266.9760000000003</v>
      </c>
      <c r="N60">
        <f t="shared" si="11"/>
        <v>3.3250000000000455</v>
      </c>
      <c r="O60">
        <v>-97.816199999999981</v>
      </c>
      <c r="P60">
        <f t="shared" si="8"/>
        <v>-138.84214069336923</v>
      </c>
      <c r="R60" t="s">
        <v>519</v>
      </c>
    </row>
    <row r="61" spans="1:19">
      <c r="A61" s="1">
        <v>60</v>
      </c>
      <c r="B61">
        <v>1220.8</v>
      </c>
      <c r="C61">
        <f t="shared" si="7"/>
        <v>1127.614</v>
      </c>
      <c r="D61">
        <f t="shared" si="1"/>
        <v>0.1171875</v>
      </c>
      <c r="E61">
        <f t="shared" si="2"/>
        <v>2642.4931832357529</v>
      </c>
      <c r="F61">
        <f t="shared" si="3"/>
        <v>93.185999999999922</v>
      </c>
      <c r="G61" t="s">
        <v>66</v>
      </c>
      <c r="H61">
        <v>168.29108888888885</v>
      </c>
      <c r="I61">
        <f t="shared" si="0"/>
        <v>-75.105088888888929</v>
      </c>
      <c r="J61">
        <f t="shared" si="9"/>
        <v>2.6539973787680098</v>
      </c>
      <c r="K61">
        <f t="shared" si="5"/>
        <v>15.100000000000136</v>
      </c>
      <c r="L61">
        <f t="shared" si="10"/>
        <v>1249.9749999999999</v>
      </c>
      <c r="M61">
        <f>AVERAGE(B61:B111)</f>
        <v>1271.145098039216</v>
      </c>
      <c r="N61">
        <f t="shared" si="11"/>
        <v>3.4049999999997453</v>
      </c>
      <c r="O61">
        <v>-110.24953333333332</v>
      </c>
      <c r="P61">
        <f t="shared" si="8"/>
        <v>265.399737876801</v>
      </c>
    </row>
    <row r="62" spans="1:19">
      <c r="A62" s="1">
        <v>61</v>
      </c>
      <c r="B62">
        <v>1235.9000000000001</v>
      </c>
      <c r="C62">
        <f t="shared" si="7"/>
        <v>1130.8649</v>
      </c>
      <c r="D62">
        <f t="shared" si="1"/>
        <v>0.119140625</v>
      </c>
      <c r="E62">
        <f t="shared" si="2"/>
        <v>3859.5352850056047</v>
      </c>
      <c r="F62">
        <f t="shared" si="3"/>
        <v>105.03510000000006</v>
      </c>
      <c r="G62" t="s">
        <v>67</v>
      </c>
      <c r="H62">
        <v>163.41796666666673</v>
      </c>
      <c r="I62">
        <f>B62-C62-H62</f>
        <v>-58.382866666666672</v>
      </c>
      <c r="J62">
        <f>((B62-B61)/B62)*100</f>
        <v>1.2217816975483564</v>
      </c>
      <c r="K62">
        <f t="shared" si="5"/>
        <v>3.1999999999998181</v>
      </c>
      <c r="L62">
        <f t="shared" si="10"/>
        <v>1251.7550000000001</v>
      </c>
      <c r="M62">
        <f>AVERAGE(B62:B111)</f>
        <v>1272.1520000000003</v>
      </c>
      <c r="N62">
        <f t="shared" si="11"/>
        <v>1.7800000000002001</v>
      </c>
      <c r="O62">
        <v>-75.105088888888929</v>
      </c>
      <c r="P62">
        <f t="shared" si="8"/>
        <v>122.17816975483564</v>
      </c>
    </row>
    <row r="63" spans="1:19">
      <c r="A63" s="1">
        <v>62</v>
      </c>
      <c r="B63">
        <v>1239.0999999999999</v>
      </c>
      <c r="C63">
        <f t="shared" si="7"/>
        <v>1134.1158</v>
      </c>
      <c r="D63">
        <f t="shared" si="1"/>
        <v>0.12109375</v>
      </c>
      <c r="E63">
        <f t="shared" si="2"/>
        <v>3482.1707887733678</v>
      </c>
      <c r="F63">
        <f t="shared" si="3"/>
        <v>104.98419999999987</v>
      </c>
      <c r="G63" t="s">
        <v>68</v>
      </c>
      <c r="H63">
        <v>168.63373333333334</v>
      </c>
      <c r="I63">
        <f t="shared" si="0"/>
        <v>-63.649533333333466</v>
      </c>
      <c r="J63">
        <f t="shared" si="9"/>
        <v>0.2582519570655975</v>
      </c>
      <c r="K63">
        <f t="shared" si="5"/>
        <v>19.200000000000045</v>
      </c>
      <c r="L63">
        <f t="shared" si="10"/>
        <v>1252.075</v>
      </c>
      <c r="M63">
        <f>AVERAGE(B63:B113)</f>
        <v>1275.7078431372552</v>
      </c>
      <c r="N63">
        <f t="shared" si="11"/>
        <v>0.31999999999993634</v>
      </c>
      <c r="O63">
        <v>-58.382866666666672</v>
      </c>
      <c r="P63">
        <f t="shared" si="8"/>
        <v>25.82519570655975</v>
      </c>
    </row>
    <row r="64" spans="1:19">
      <c r="A64" s="1">
        <v>63</v>
      </c>
      <c r="B64">
        <v>1258.3</v>
      </c>
      <c r="C64">
        <f t="shared" si="7"/>
        <v>1137.3667</v>
      </c>
      <c r="D64">
        <f t="shared" si="1"/>
        <v>0.123046875</v>
      </c>
      <c r="E64">
        <f t="shared" si="2"/>
        <v>1936.4670716487133</v>
      </c>
      <c r="F64">
        <f t="shared" si="3"/>
        <v>120.93329999999992</v>
      </c>
      <c r="G64" t="s">
        <v>69</v>
      </c>
      <c r="H64">
        <v>175.06061111111109</v>
      </c>
      <c r="I64">
        <f t="shared" si="0"/>
        <v>-54.127311111111169</v>
      </c>
      <c r="J64">
        <f t="shared" si="9"/>
        <v>1.525868234920134</v>
      </c>
      <c r="K64">
        <f t="shared" si="5"/>
        <v>-31.799999999999955</v>
      </c>
      <c r="L64">
        <f t="shared" si="10"/>
        <v>1250.605</v>
      </c>
      <c r="M64">
        <f>AVERAGE(B64:B113)</f>
        <v>1276.4400000000003</v>
      </c>
      <c r="N64">
        <f t="shared" si="11"/>
        <v>-1.4700000000000273</v>
      </c>
      <c r="O64">
        <v>-63.649533333333466</v>
      </c>
      <c r="P64">
        <f t="shared" si="8"/>
        <v>152.58682349201339</v>
      </c>
    </row>
    <row r="65" spans="1:16">
      <c r="A65" s="1">
        <v>64</v>
      </c>
      <c r="B65">
        <v>1226.5</v>
      </c>
      <c r="C65">
        <f t="shared" si="7"/>
        <v>1140.6176</v>
      </c>
      <c r="D65">
        <f t="shared" si="1"/>
        <v>0.125</v>
      </c>
      <c r="E65">
        <f t="shared" si="2"/>
        <v>3385.4143840082097</v>
      </c>
      <c r="F65">
        <f t="shared" si="3"/>
        <v>85.882399999999961</v>
      </c>
      <c r="G65" t="s">
        <v>70</v>
      </c>
      <c r="H65">
        <v>175.60114444444446</v>
      </c>
      <c r="I65">
        <f t="shared" si="0"/>
        <v>-89.718744444444496</v>
      </c>
      <c r="J65">
        <f t="shared" si="9"/>
        <v>-2.5927435792906608</v>
      </c>
      <c r="K65">
        <f t="shared" si="5"/>
        <v>-25.099999999999909</v>
      </c>
      <c r="L65">
        <f t="shared" si="10"/>
        <v>1249.0650000000001</v>
      </c>
      <c r="M65">
        <f>AVERAGE(B65:B115)</f>
        <v>1279.129411764706</v>
      </c>
      <c r="N65">
        <f t="shared" si="11"/>
        <v>-1.5399999999999636</v>
      </c>
      <c r="O65">
        <v>-54.127311111111169</v>
      </c>
      <c r="P65">
        <f t="shared" si="8"/>
        <v>-259.27435792906607</v>
      </c>
    </row>
    <row r="66" spans="1:16">
      <c r="A66" s="1">
        <v>65</v>
      </c>
      <c r="B66">
        <v>1201.4000000000001</v>
      </c>
      <c r="C66">
        <f t="shared" si="7"/>
        <v>1143.8685</v>
      </c>
      <c r="D66">
        <f t="shared" si="1"/>
        <v>0.126953125</v>
      </c>
      <c r="E66">
        <f t="shared" si="2"/>
        <v>4230.935436565127</v>
      </c>
      <c r="F66">
        <f t="shared" si="3"/>
        <v>57.531500000000051</v>
      </c>
      <c r="G66" t="s">
        <v>71</v>
      </c>
      <c r="H66">
        <v>183.85024444444448</v>
      </c>
      <c r="I66">
        <f t="shared" ref="I66:I129" si="12">B66-C66-H66</f>
        <v>-126.31874444444443</v>
      </c>
      <c r="J66">
        <f t="shared" si="9"/>
        <v>-2.0892292325620034</v>
      </c>
      <c r="K66">
        <f t="shared" si="5"/>
        <v>28.799999999999955</v>
      </c>
      <c r="L66">
        <f t="shared" si="10"/>
        <v>1250.4850000000001</v>
      </c>
      <c r="M66">
        <f>AVERAGE(B66:B115)</f>
        <v>1280.1820000000002</v>
      </c>
      <c r="N66">
        <f t="shared" si="11"/>
        <v>1.4200000000000728</v>
      </c>
      <c r="O66">
        <v>-89.718744444444496</v>
      </c>
      <c r="P66">
        <f t="shared" si="8"/>
        <v>-208.92292325620033</v>
      </c>
    </row>
    <row r="67" spans="1:16">
      <c r="A67" s="1">
        <v>66</v>
      </c>
      <c r="B67">
        <v>1230.2</v>
      </c>
      <c r="C67">
        <f t="shared" si="7"/>
        <v>1147.1194</v>
      </c>
      <c r="D67">
        <f t="shared" ref="D67:D130" si="13">A67/512</f>
        <v>0.12890625</v>
      </c>
      <c r="E67">
        <f t="shared" ref="E67:E130" si="14">IMABS(G67)</f>
        <v>2391.1244494823613</v>
      </c>
      <c r="F67">
        <f t="shared" ref="F67:F130" si="15">B67-C67</f>
        <v>83.080600000000004</v>
      </c>
      <c r="G67" t="s">
        <v>72</v>
      </c>
      <c r="H67">
        <v>187.5549</v>
      </c>
      <c r="I67">
        <f t="shared" si="12"/>
        <v>-104.4743</v>
      </c>
      <c r="J67">
        <f t="shared" si="9"/>
        <v>2.3410827507722285</v>
      </c>
      <c r="K67">
        <f t="shared" ref="K67:K130" si="16">B68-B67</f>
        <v>18.299999999999955</v>
      </c>
      <c r="L67">
        <f t="shared" si="10"/>
        <v>1254.18</v>
      </c>
      <c r="M67">
        <f>AVERAGE(B67:B117)</f>
        <v>1283.5568627450984</v>
      </c>
      <c r="N67">
        <f t="shared" si="11"/>
        <v>3.6949999999999363</v>
      </c>
      <c r="O67">
        <v>-126.31874444444443</v>
      </c>
      <c r="P67">
        <f t="shared" si="8"/>
        <v>234.10827507722286</v>
      </c>
    </row>
    <row r="68" spans="1:16">
      <c r="A68" s="1">
        <v>67</v>
      </c>
      <c r="B68">
        <v>1248.5</v>
      </c>
      <c r="C68">
        <f t="shared" ref="C68:C131" si="17">3.2509*A68+932.56</f>
        <v>1150.3703</v>
      </c>
      <c r="D68">
        <f t="shared" si="13"/>
        <v>0.130859375</v>
      </c>
      <c r="E68">
        <f t="shared" si="14"/>
        <v>3506.0523644311638</v>
      </c>
      <c r="F68">
        <f t="shared" si="15"/>
        <v>98.129699999999957</v>
      </c>
      <c r="G68" t="s">
        <v>73</v>
      </c>
      <c r="H68">
        <v>181.60400000000004</v>
      </c>
      <c r="I68">
        <f t="shared" si="12"/>
        <v>-83.474300000000085</v>
      </c>
      <c r="J68">
        <f t="shared" si="9"/>
        <v>1.4657589106928277</v>
      </c>
      <c r="K68">
        <f t="shared" si="16"/>
        <v>2.7000000000000455</v>
      </c>
      <c r="L68">
        <f t="shared" ref="L68:L131" si="18">AVERAGE(B68:B87)</f>
        <v>1255.9000000000001</v>
      </c>
      <c r="M68">
        <f>AVERAGE(B68:B117)</f>
        <v>1284.6240000000005</v>
      </c>
      <c r="N68">
        <f t="shared" si="11"/>
        <v>1.7200000000000273</v>
      </c>
      <c r="O68">
        <v>-104.4743</v>
      </c>
      <c r="P68">
        <f t="shared" ref="P68:P131" si="19">J68*100</f>
        <v>146.57589106928276</v>
      </c>
    </row>
    <row r="69" spans="1:16">
      <c r="A69" s="1">
        <v>68</v>
      </c>
      <c r="B69">
        <v>1251.2</v>
      </c>
      <c r="C69">
        <f t="shared" si="17"/>
        <v>1153.6212</v>
      </c>
      <c r="D69">
        <f t="shared" si="13"/>
        <v>0.1328125</v>
      </c>
      <c r="E69">
        <f t="shared" si="14"/>
        <v>2600.8924219436481</v>
      </c>
      <c r="F69">
        <f t="shared" si="15"/>
        <v>97.578800000000001</v>
      </c>
      <c r="G69" t="s">
        <v>74</v>
      </c>
      <c r="H69">
        <v>174.28643333333338</v>
      </c>
      <c r="I69">
        <f t="shared" si="12"/>
        <v>-76.707633333333376</v>
      </c>
      <c r="J69">
        <f t="shared" ref="J69:J132" si="20">((B69-B68)/B69)*100</f>
        <v>0.21579283887468392</v>
      </c>
      <c r="K69">
        <f t="shared" si="16"/>
        <v>6.0999999999999091</v>
      </c>
      <c r="L69">
        <f t="shared" si="18"/>
        <v>1258.1750000000002</v>
      </c>
      <c r="M69">
        <f>AVERAGE(B69:B119)</f>
        <v>1286.6470588235297</v>
      </c>
      <c r="N69">
        <f t="shared" ref="N69:N132" si="21">L69-L68</f>
        <v>2.2750000000000909</v>
      </c>
      <c r="O69">
        <v>-83.474300000000085</v>
      </c>
      <c r="P69">
        <f t="shared" si="19"/>
        <v>21.579283887468392</v>
      </c>
    </row>
    <row r="70" spans="1:16">
      <c r="A70" s="1">
        <v>69</v>
      </c>
      <c r="B70">
        <v>1257.3</v>
      </c>
      <c r="C70">
        <f t="shared" si="17"/>
        <v>1156.8721</v>
      </c>
      <c r="D70">
        <f t="shared" si="13"/>
        <v>0.134765625</v>
      </c>
      <c r="E70">
        <f t="shared" si="14"/>
        <v>2583.9327334867789</v>
      </c>
      <c r="F70">
        <f t="shared" si="15"/>
        <v>100.42789999999991</v>
      </c>
      <c r="G70" t="s">
        <v>75</v>
      </c>
      <c r="H70">
        <v>168.29108888888885</v>
      </c>
      <c r="I70">
        <f t="shared" si="12"/>
        <v>-67.863188888888942</v>
      </c>
      <c r="J70">
        <f t="shared" si="20"/>
        <v>0.48516662689890316</v>
      </c>
      <c r="K70">
        <f t="shared" si="16"/>
        <v>31.200000000000045</v>
      </c>
      <c r="L70">
        <f t="shared" si="18"/>
        <v>1260.1949999999999</v>
      </c>
      <c r="M70">
        <f>AVERAGE(B70:B119)</f>
        <v>1287.3560000000004</v>
      </c>
      <c r="N70">
        <f t="shared" si="21"/>
        <v>2.0199999999997544</v>
      </c>
      <c r="O70">
        <v>-76.707633333333376</v>
      </c>
      <c r="P70">
        <f t="shared" si="19"/>
        <v>48.516662689890317</v>
      </c>
    </row>
    <row r="71" spans="1:16">
      <c r="A71" s="1">
        <v>70</v>
      </c>
      <c r="B71">
        <v>1288.5</v>
      </c>
      <c r="C71">
        <f t="shared" si="17"/>
        <v>1160.123</v>
      </c>
      <c r="D71">
        <f t="shared" si="13"/>
        <v>0.13671875</v>
      </c>
      <c r="E71">
        <f t="shared" si="14"/>
        <v>3544.1064204155728</v>
      </c>
      <c r="F71">
        <f t="shared" si="15"/>
        <v>128.37699999999995</v>
      </c>
      <c r="G71" t="s">
        <v>76</v>
      </c>
      <c r="H71">
        <v>163.41796666666673</v>
      </c>
      <c r="I71">
        <f t="shared" si="12"/>
        <v>-35.040966666666776</v>
      </c>
      <c r="J71">
        <f t="shared" si="20"/>
        <v>2.4214202561117615</v>
      </c>
      <c r="K71">
        <f t="shared" si="16"/>
        <v>0.59999999999990905</v>
      </c>
      <c r="L71">
        <f t="shared" si="18"/>
        <v>1262.2249999999999</v>
      </c>
      <c r="M71">
        <f>AVERAGE(B71:B121)</f>
        <v>1289.9549019607846</v>
      </c>
      <c r="N71">
        <f t="shared" si="21"/>
        <v>2.0299999999999727</v>
      </c>
      <c r="O71">
        <v>-67.863188888888942</v>
      </c>
      <c r="P71">
        <f t="shared" si="19"/>
        <v>242.14202561117614</v>
      </c>
    </row>
    <row r="72" spans="1:16">
      <c r="A72" s="1">
        <v>71</v>
      </c>
      <c r="B72">
        <v>1289.0999999999999</v>
      </c>
      <c r="C72">
        <f t="shared" si="17"/>
        <v>1163.3739</v>
      </c>
      <c r="D72">
        <f t="shared" si="13"/>
        <v>0.138671875</v>
      </c>
      <c r="E72">
        <f t="shared" si="14"/>
        <v>2974.9279448856541</v>
      </c>
      <c r="F72">
        <f t="shared" si="15"/>
        <v>125.72609999999986</v>
      </c>
      <c r="G72" t="s">
        <v>77</v>
      </c>
      <c r="H72">
        <v>168.63373333333334</v>
      </c>
      <c r="I72">
        <f t="shared" si="12"/>
        <v>-42.907633333333479</v>
      </c>
      <c r="J72">
        <f t="shared" si="20"/>
        <v>4.6544100535250099E-2</v>
      </c>
      <c r="K72">
        <f t="shared" si="16"/>
        <v>-20.799999999999955</v>
      </c>
      <c r="L72">
        <f t="shared" si="18"/>
        <v>1264.3200000000002</v>
      </c>
      <c r="M72">
        <f>AVERAGE(B72:B121)</f>
        <v>1289.9840000000006</v>
      </c>
      <c r="N72">
        <f t="shared" si="21"/>
        <v>2.0950000000002547</v>
      </c>
      <c r="O72">
        <v>-35.040966666666776</v>
      </c>
      <c r="P72">
        <f t="shared" si="19"/>
        <v>4.6544100535250097</v>
      </c>
    </row>
    <row r="73" spans="1:16">
      <c r="A73" s="1">
        <v>72</v>
      </c>
      <c r="B73">
        <v>1268.3</v>
      </c>
      <c r="C73">
        <f t="shared" si="17"/>
        <v>1166.6248000000001</v>
      </c>
      <c r="D73">
        <f t="shared" si="13"/>
        <v>0.140625</v>
      </c>
      <c r="E73">
        <f t="shared" si="14"/>
        <v>3086.7183705482844</v>
      </c>
      <c r="F73">
        <f t="shared" si="15"/>
        <v>101.6751999999999</v>
      </c>
      <c r="G73" t="s">
        <v>78</v>
      </c>
      <c r="H73">
        <v>175.06061111111109</v>
      </c>
      <c r="I73">
        <f t="shared" si="12"/>
        <v>-73.385411111111182</v>
      </c>
      <c r="J73">
        <f t="shared" si="20"/>
        <v>-1.6399905385161204</v>
      </c>
      <c r="K73">
        <f t="shared" si="16"/>
        <v>-41.399999999999864</v>
      </c>
      <c r="L73">
        <f t="shared" si="18"/>
        <v>1267.425</v>
      </c>
      <c r="M73">
        <f>AVERAGE(B73:B123)</f>
        <v>1292.0411764705887</v>
      </c>
      <c r="N73">
        <f t="shared" si="21"/>
        <v>3.1049999999997908</v>
      </c>
      <c r="O73">
        <v>-42.907633333333479</v>
      </c>
      <c r="P73">
        <f t="shared" si="19"/>
        <v>-163.99905385161205</v>
      </c>
    </row>
    <row r="74" spans="1:16">
      <c r="A74" s="1">
        <v>73</v>
      </c>
      <c r="B74">
        <v>1226.9000000000001</v>
      </c>
      <c r="C74">
        <f t="shared" si="17"/>
        <v>1169.8757000000001</v>
      </c>
      <c r="D74">
        <f t="shared" si="13"/>
        <v>0.142578125</v>
      </c>
      <c r="E74">
        <f t="shared" si="14"/>
        <v>3274.975232873499</v>
      </c>
      <c r="F74">
        <f t="shared" si="15"/>
        <v>57.024300000000039</v>
      </c>
      <c r="G74" t="s">
        <v>79</v>
      </c>
      <c r="H74">
        <v>175.60114444444446</v>
      </c>
      <c r="I74">
        <f t="shared" si="12"/>
        <v>-118.57684444444442</v>
      </c>
      <c r="J74">
        <f t="shared" si="20"/>
        <v>-3.374358138397576</v>
      </c>
      <c r="K74">
        <f t="shared" si="16"/>
        <v>0.79999999999995453</v>
      </c>
      <c r="L74">
        <f t="shared" si="18"/>
        <v>1270.27</v>
      </c>
      <c r="M74">
        <f>AVERAGE(B74:B123)</f>
        <v>1292.5160000000003</v>
      </c>
      <c r="N74">
        <f t="shared" si="21"/>
        <v>2.8450000000000273</v>
      </c>
      <c r="O74">
        <v>-73.385411111111182</v>
      </c>
      <c r="P74">
        <f t="shared" si="19"/>
        <v>-337.4358138397576</v>
      </c>
    </row>
    <row r="75" spans="1:16">
      <c r="A75" s="1">
        <v>74</v>
      </c>
      <c r="B75">
        <v>1227.7</v>
      </c>
      <c r="C75">
        <f t="shared" si="17"/>
        <v>1173.1266000000001</v>
      </c>
      <c r="D75">
        <f t="shared" si="13"/>
        <v>0.14453125</v>
      </c>
      <c r="E75">
        <f t="shared" si="14"/>
        <v>2922.4330267807468</v>
      </c>
      <c r="F75">
        <f t="shared" si="15"/>
        <v>54.573399999999992</v>
      </c>
      <c r="G75" t="s">
        <v>80</v>
      </c>
      <c r="H75">
        <v>183.85024444444448</v>
      </c>
      <c r="I75">
        <f t="shared" si="12"/>
        <v>-129.27684444444449</v>
      </c>
      <c r="J75">
        <f t="shared" si="20"/>
        <v>6.516249898183224E-2</v>
      </c>
      <c r="K75">
        <f t="shared" si="16"/>
        <v>25.899999999999864</v>
      </c>
      <c r="L75">
        <f t="shared" si="18"/>
        <v>1273.8</v>
      </c>
      <c r="M75">
        <f>AVERAGE(B75:B125)</f>
        <v>1295.3058823529416</v>
      </c>
      <c r="N75">
        <f t="shared" si="21"/>
        <v>3.5299999999999727</v>
      </c>
      <c r="O75">
        <v>-118.57684444444442</v>
      </c>
      <c r="P75">
        <f t="shared" si="19"/>
        <v>6.516249898183224</v>
      </c>
    </row>
    <row r="76" spans="1:16">
      <c r="A76" s="1">
        <v>75</v>
      </c>
      <c r="B76">
        <v>1253.5999999999999</v>
      </c>
      <c r="C76">
        <f t="shared" si="17"/>
        <v>1176.3775000000001</v>
      </c>
      <c r="D76">
        <f t="shared" si="13"/>
        <v>0.146484375</v>
      </c>
      <c r="E76">
        <f t="shared" si="14"/>
        <v>2423.6127573240365</v>
      </c>
      <c r="F76">
        <f t="shared" si="15"/>
        <v>77.222499999999854</v>
      </c>
      <c r="G76" t="s">
        <v>81</v>
      </c>
      <c r="H76">
        <v>187.5549</v>
      </c>
      <c r="I76">
        <f t="shared" si="12"/>
        <v>-110.33240000000015</v>
      </c>
      <c r="J76">
        <f t="shared" si="20"/>
        <v>2.0660497766432568</v>
      </c>
      <c r="K76">
        <f t="shared" si="16"/>
        <v>14.5</v>
      </c>
      <c r="L76">
        <f t="shared" si="18"/>
        <v>1276.6550000000002</v>
      </c>
      <c r="M76">
        <f>AVERAGE(B76:B125)</f>
        <v>1296.6580000000006</v>
      </c>
      <c r="N76">
        <f t="shared" si="21"/>
        <v>2.8550000000002456</v>
      </c>
      <c r="O76">
        <v>-129.27684444444449</v>
      </c>
      <c r="P76">
        <f t="shared" si="19"/>
        <v>206.60497766432567</v>
      </c>
    </row>
    <row r="77" spans="1:16">
      <c r="A77" s="1">
        <v>76</v>
      </c>
      <c r="B77">
        <v>1268.0999999999999</v>
      </c>
      <c r="C77">
        <f t="shared" si="17"/>
        <v>1179.6284000000001</v>
      </c>
      <c r="D77">
        <f t="shared" si="13"/>
        <v>0.1484375</v>
      </c>
      <c r="E77">
        <f t="shared" si="14"/>
        <v>2805.0183213508071</v>
      </c>
      <c r="F77">
        <f t="shared" si="15"/>
        <v>88.471599999999853</v>
      </c>
      <c r="G77" t="s">
        <v>82</v>
      </c>
      <c r="H77">
        <v>181.60400000000004</v>
      </c>
      <c r="I77">
        <f t="shared" si="12"/>
        <v>-93.132400000000189</v>
      </c>
      <c r="J77">
        <f t="shared" si="20"/>
        <v>1.1434429461398945</v>
      </c>
      <c r="K77">
        <f t="shared" si="16"/>
        <v>12.100000000000136</v>
      </c>
      <c r="L77">
        <f t="shared" si="18"/>
        <v>1277.7200000000003</v>
      </c>
      <c r="M77">
        <f>AVERAGE(B77:B127)</f>
        <v>1298.3274509803928</v>
      </c>
      <c r="N77">
        <f t="shared" si="21"/>
        <v>1.0650000000000546</v>
      </c>
      <c r="O77">
        <v>-110.33240000000015</v>
      </c>
      <c r="P77">
        <f t="shared" si="19"/>
        <v>114.34429461398945</v>
      </c>
    </row>
    <row r="78" spans="1:16">
      <c r="A78" s="1">
        <v>77</v>
      </c>
      <c r="B78">
        <v>1280.2</v>
      </c>
      <c r="C78">
        <f t="shared" si="17"/>
        <v>1182.8793000000001</v>
      </c>
      <c r="D78">
        <f t="shared" si="13"/>
        <v>0.150390625</v>
      </c>
      <c r="E78">
        <f t="shared" si="14"/>
        <v>1167.2309408529902</v>
      </c>
      <c r="F78">
        <f t="shared" si="15"/>
        <v>97.320699999999988</v>
      </c>
      <c r="G78" t="s">
        <v>83</v>
      </c>
      <c r="H78">
        <v>174.28643333333338</v>
      </c>
      <c r="I78">
        <f t="shared" si="12"/>
        <v>-76.96573333333339</v>
      </c>
      <c r="J78">
        <f t="shared" si="20"/>
        <v>0.94516481799719854</v>
      </c>
      <c r="K78">
        <f t="shared" si="16"/>
        <v>-8.7999999999999545</v>
      </c>
      <c r="L78">
        <f t="shared" si="18"/>
        <v>1279.5450000000001</v>
      </c>
      <c r="M78">
        <f>AVERAGE(B78:B127)</f>
        <v>1298.9320000000005</v>
      </c>
      <c r="N78">
        <f t="shared" si="21"/>
        <v>1.8249999999998181</v>
      </c>
      <c r="O78">
        <v>-93.132400000000189</v>
      </c>
      <c r="P78">
        <f t="shared" si="19"/>
        <v>94.516481799719855</v>
      </c>
    </row>
    <row r="79" spans="1:16">
      <c r="A79" s="1">
        <v>78</v>
      </c>
      <c r="B79">
        <v>1271.4000000000001</v>
      </c>
      <c r="C79">
        <f t="shared" si="17"/>
        <v>1186.1302000000001</v>
      </c>
      <c r="D79">
        <f t="shared" si="13"/>
        <v>0.15234375</v>
      </c>
      <c r="E79">
        <f t="shared" si="14"/>
        <v>2195.7250285310479</v>
      </c>
      <c r="F79">
        <f t="shared" si="15"/>
        <v>85.269800000000032</v>
      </c>
      <c r="G79" t="s">
        <v>84</v>
      </c>
      <c r="H79">
        <v>168.29108888888885</v>
      </c>
      <c r="I79">
        <f t="shared" si="12"/>
        <v>-83.021288888888819</v>
      </c>
      <c r="J79">
        <f t="shared" si="20"/>
        <v>-0.69215038540191554</v>
      </c>
      <c r="K79">
        <f t="shared" si="16"/>
        <v>-14.900000000000091</v>
      </c>
      <c r="L79">
        <f t="shared" si="18"/>
        <v>1279.56</v>
      </c>
      <c r="M79">
        <f>AVERAGE(B79:B129)</f>
        <v>1299.2431372549024</v>
      </c>
      <c r="N79">
        <f t="shared" si="21"/>
        <v>1.4999999999872671E-2</v>
      </c>
      <c r="O79">
        <v>-76.96573333333339</v>
      </c>
      <c r="P79">
        <f t="shared" si="19"/>
        <v>-69.215038540191557</v>
      </c>
    </row>
    <row r="80" spans="1:16">
      <c r="A80" s="1">
        <v>79</v>
      </c>
      <c r="B80">
        <v>1256.5</v>
      </c>
      <c r="C80">
        <f t="shared" si="17"/>
        <v>1189.3811000000001</v>
      </c>
      <c r="D80">
        <f t="shared" si="13"/>
        <v>0.154296875</v>
      </c>
      <c r="E80">
        <f t="shared" si="14"/>
        <v>2051.8039835237305</v>
      </c>
      <c r="F80">
        <f t="shared" si="15"/>
        <v>67.11889999999994</v>
      </c>
      <c r="G80" t="s">
        <v>85</v>
      </c>
      <c r="H80">
        <v>163.41796666666673</v>
      </c>
      <c r="I80">
        <f t="shared" si="12"/>
        <v>-96.299066666666789</v>
      </c>
      <c r="J80">
        <f t="shared" si="20"/>
        <v>-1.1858336649423074</v>
      </c>
      <c r="K80">
        <f t="shared" si="16"/>
        <v>-9.9999999999909051E-2</v>
      </c>
      <c r="L80">
        <f t="shared" si="18"/>
        <v>1279.58</v>
      </c>
      <c r="M80">
        <f>AVERAGE(B80:B129)</f>
        <v>1299.8000000000002</v>
      </c>
      <c r="N80">
        <f t="shared" si="21"/>
        <v>1.999999999998181E-2</v>
      </c>
      <c r="O80">
        <v>-83.021288888888819</v>
      </c>
      <c r="P80">
        <f t="shared" si="19"/>
        <v>-118.58336649423073</v>
      </c>
    </row>
    <row r="81" spans="1:18">
      <c r="A81" s="1">
        <v>80</v>
      </c>
      <c r="B81">
        <v>1256.4000000000001</v>
      </c>
      <c r="C81">
        <f t="shared" si="17"/>
        <v>1192.6320000000001</v>
      </c>
      <c r="D81">
        <f t="shared" si="13"/>
        <v>0.15625</v>
      </c>
      <c r="E81">
        <f t="shared" si="14"/>
        <v>3268.1291090873306</v>
      </c>
      <c r="F81">
        <f t="shared" si="15"/>
        <v>63.768000000000029</v>
      </c>
      <c r="G81" t="s">
        <v>86</v>
      </c>
      <c r="H81">
        <v>168.63373333333334</v>
      </c>
      <c r="I81">
        <f t="shared" si="12"/>
        <v>-104.86573333333331</v>
      </c>
      <c r="J81">
        <f t="shared" si="20"/>
        <v>-7.9592486469204898E-3</v>
      </c>
      <c r="K81">
        <f t="shared" si="16"/>
        <v>-14.100000000000136</v>
      </c>
      <c r="L81">
        <f t="shared" si="18"/>
        <v>1280.2149999999999</v>
      </c>
      <c r="M81">
        <f>AVERAGE(B81:B131)</f>
        <v>1300.6960784313728</v>
      </c>
      <c r="N81">
        <f t="shared" si="21"/>
        <v>0.63499999999999091</v>
      </c>
      <c r="O81">
        <v>-96.299066666666789</v>
      </c>
      <c r="P81">
        <f t="shared" si="19"/>
        <v>-0.79592486469204893</v>
      </c>
    </row>
    <row r="82" spans="1:18">
      <c r="A82" s="1">
        <v>81</v>
      </c>
      <c r="B82">
        <v>1242.3</v>
      </c>
      <c r="C82">
        <f t="shared" si="17"/>
        <v>1195.8829000000001</v>
      </c>
      <c r="D82">
        <f t="shared" si="13"/>
        <v>0.158203125</v>
      </c>
      <c r="E82">
        <f t="shared" si="14"/>
        <v>2417.8006183734788</v>
      </c>
      <c r="F82">
        <f t="shared" si="15"/>
        <v>46.417099999999891</v>
      </c>
      <c r="G82" t="s">
        <v>87</v>
      </c>
      <c r="H82">
        <v>175.06061111111109</v>
      </c>
      <c r="I82">
        <f t="shared" si="12"/>
        <v>-128.6435111111112</v>
      </c>
      <c r="J82">
        <f t="shared" si="20"/>
        <v>-1.1349915479352923</v>
      </c>
      <c r="K82">
        <f t="shared" si="16"/>
        <v>-32.599999999999909</v>
      </c>
      <c r="L82">
        <f t="shared" si="18"/>
        <v>1281.105</v>
      </c>
      <c r="M82">
        <f>AVERAGE(B82:B131)</f>
        <v>1301.5820000000003</v>
      </c>
      <c r="N82">
        <f t="shared" si="21"/>
        <v>0.89000000000010004</v>
      </c>
      <c r="O82">
        <v>-104.86573333333331</v>
      </c>
      <c r="P82">
        <f t="shared" si="19"/>
        <v>-113.49915479352923</v>
      </c>
    </row>
    <row r="83" spans="1:18">
      <c r="A83" s="1">
        <v>82</v>
      </c>
      <c r="B83">
        <v>1209.7</v>
      </c>
      <c r="C83">
        <f t="shared" si="17"/>
        <v>1199.1338000000001</v>
      </c>
      <c r="D83">
        <f t="shared" si="13"/>
        <v>0.16015625</v>
      </c>
      <c r="E83">
        <f t="shared" si="14"/>
        <v>1783.6610583383283</v>
      </c>
      <c r="F83">
        <f t="shared" si="15"/>
        <v>10.566199999999981</v>
      </c>
      <c r="G83" t="s">
        <v>88</v>
      </c>
      <c r="H83">
        <v>175.60114444444446</v>
      </c>
      <c r="I83">
        <f>B83-C83-H83</f>
        <v>-165.03494444444448</v>
      </c>
      <c r="J83">
        <f t="shared" si="20"/>
        <v>-2.6948830288501204</v>
      </c>
      <c r="K83">
        <f t="shared" si="16"/>
        <v>17.799999999999955</v>
      </c>
      <c r="L83">
        <f t="shared" si="18"/>
        <v>1283.8150000000001</v>
      </c>
      <c r="M83">
        <f>AVERAGE(B83:B133)</f>
        <v>1301.6862745098042</v>
      </c>
      <c r="N83">
        <f t="shared" si="21"/>
        <v>2.7100000000000364</v>
      </c>
      <c r="O83">
        <v>-128.6435111111112</v>
      </c>
      <c r="P83">
        <f t="shared" si="19"/>
        <v>-269.48830288501205</v>
      </c>
    </row>
    <row r="84" spans="1:18">
      <c r="A84" s="1">
        <v>83</v>
      </c>
      <c r="B84">
        <v>1227.5</v>
      </c>
      <c r="C84">
        <f t="shared" si="17"/>
        <v>1202.3847000000001</v>
      </c>
      <c r="D84">
        <f t="shared" si="13"/>
        <v>0.162109375</v>
      </c>
      <c r="E84">
        <f t="shared" si="14"/>
        <v>1798.6195358584607</v>
      </c>
      <c r="F84">
        <f t="shared" si="15"/>
        <v>25.115299999999934</v>
      </c>
      <c r="G84" t="s">
        <v>89</v>
      </c>
      <c r="H84">
        <v>183.85024444444448</v>
      </c>
      <c r="I84">
        <f t="shared" si="12"/>
        <v>-158.73494444444455</v>
      </c>
      <c r="J84">
        <f t="shared" si="20"/>
        <v>1.4501018329938864</v>
      </c>
      <c r="K84">
        <f t="shared" si="16"/>
        <v>27.400000000000091</v>
      </c>
      <c r="L84">
        <f t="shared" si="18"/>
        <v>1287.6949999999999</v>
      </c>
      <c r="M84">
        <f>AVERAGE(B84:B133)</f>
        <v>1303.5260000000001</v>
      </c>
      <c r="N84">
        <f t="shared" si="21"/>
        <v>3.8799999999998818</v>
      </c>
      <c r="O84">
        <v>-165.03494444444448</v>
      </c>
      <c r="P84">
        <f t="shared" si="19"/>
        <v>145.01018329938864</v>
      </c>
    </row>
    <row r="85" spans="1:18">
      <c r="A85" s="1">
        <v>84</v>
      </c>
      <c r="B85">
        <v>1254.9000000000001</v>
      </c>
      <c r="C85">
        <f t="shared" si="17"/>
        <v>1205.6356000000001</v>
      </c>
      <c r="D85">
        <f t="shared" si="13"/>
        <v>0.1640625</v>
      </c>
      <c r="E85">
        <f t="shared" si="14"/>
        <v>2385.3036308684732</v>
      </c>
      <c r="F85">
        <f t="shared" si="15"/>
        <v>49.264400000000023</v>
      </c>
      <c r="G85" t="s">
        <v>90</v>
      </c>
      <c r="H85">
        <v>187.5549</v>
      </c>
      <c r="I85">
        <f t="shared" si="12"/>
        <v>-138.29049999999998</v>
      </c>
      <c r="J85">
        <f t="shared" si="20"/>
        <v>2.1834409116264317</v>
      </c>
      <c r="K85">
        <f t="shared" si="16"/>
        <v>20.399999999999864</v>
      </c>
      <c r="L85">
        <f t="shared" si="18"/>
        <v>1290.4349999999999</v>
      </c>
      <c r="M85">
        <f>AVERAGE(B85:B135)</f>
        <v>1303.1196078431371</v>
      </c>
      <c r="N85">
        <f t="shared" si="21"/>
        <v>2.7400000000000091</v>
      </c>
      <c r="O85">
        <v>-158.73494444444455</v>
      </c>
      <c r="P85">
        <f t="shared" si="19"/>
        <v>218.34409116264317</v>
      </c>
    </row>
    <row r="86" spans="1:18">
      <c r="A86" s="1">
        <v>85</v>
      </c>
      <c r="B86">
        <v>1275.3</v>
      </c>
      <c r="C86">
        <f t="shared" si="17"/>
        <v>1208.8865000000001</v>
      </c>
      <c r="D86">
        <f t="shared" si="13"/>
        <v>0.166015625</v>
      </c>
      <c r="E86">
        <f t="shared" si="14"/>
        <v>3038.4458021672604</v>
      </c>
      <c r="F86">
        <f t="shared" si="15"/>
        <v>66.413499999999885</v>
      </c>
      <c r="G86" t="s">
        <v>91</v>
      </c>
      <c r="H86">
        <v>181.60400000000004</v>
      </c>
      <c r="I86">
        <f t="shared" si="12"/>
        <v>-115.19050000000016</v>
      </c>
      <c r="J86">
        <f t="shared" si="20"/>
        <v>1.599623617972231</v>
      </c>
      <c r="K86">
        <f t="shared" si="16"/>
        <v>-10.700000000000045</v>
      </c>
      <c r="L86">
        <f t="shared" si="18"/>
        <v>1290.1100000000001</v>
      </c>
      <c r="M86">
        <f>AVERAGE(B86:B135)</f>
        <v>1304.0840000000001</v>
      </c>
      <c r="N86">
        <f t="shared" si="21"/>
        <v>-0.3249999999998181</v>
      </c>
      <c r="O86">
        <v>-138.29049999999998</v>
      </c>
      <c r="P86">
        <f t="shared" si="19"/>
        <v>159.96236179722308</v>
      </c>
    </row>
    <row r="87" spans="1:18">
      <c r="A87" s="1">
        <v>86</v>
      </c>
      <c r="B87">
        <v>1264.5999999999999</v>
      </c>
      <c r="C87">
        <f t="shared" si="17"/>
        <v>1212.1374000000001</v>
      </c>
      <c r="D87">
        <f t="shared" si="13"/>
        <v>0.16796875</v>
      </c>
      <c r="E87">
        <f t="shared" si="14"/>
        <v>2736.7149090366947</v>
      </c>
      <c r="F87">
        <f t="shared" si="15"/>
        <v>52.462599999999838</v>
      </c>
      <c r="G87" t="s">
        <v>92</v>
      </c>
      <c r="H87">
        <v>174.28643333333338</v>
      </c>
      <c r="I87">
        <f t="shared" si="12"/>
        <v>-121.82383333333354</v>
      </c>
      <c r="J87">
        <f t="shared" si="20"/>
        <v>-0.84611734935948502</v>
      </c>
      <c r="K87">
        <f t="shared" si="16"/>
        <v>29.400000000000091</v>
      </c>
      <c r="L87">
        <f t="shared" si="18"/>
        <v>1289.22</v>
      </c>
      <c r="M87">
        <f>AVERAGE(B87:B137)</f>
        <v>1301.9843137254904</v>
      </c>
      <c r="N87">
        <f t="shared" si="21"/>
        <v>-0.89000000000010004</v>
      </c>
      <c r="O87">
        <v>-115.19050000000016</v>
      </c>
      <c r="P87">
        <f t="shared" si="19"/>
        <v>-84.611734935948505</v>
      </c>
    </row>
    <row r="88" spans="1:18">
      <c r="A88" s="1">
        <v>87</v>
      </c>
      <c r="B88">
        <v>1294</v>
      </c>
      <c r="C88">
        <f t="shared" si="17"/>
        <v>1215.3883000000001</v>
      </c>
      <c r="D88">
        <f t="shared" si="13"/>
        <v>0.169921875</v>
      </c>
      <c r="E88">
        <f t="shared" si="14"/>
        <v>2936.78732751395</v>
      </c>
      <c r="F88">
        <f t="shared" si="15"/>
        <v>78.611699999999928</v>
      </c>
      <c r="G88" t="s">
        <v>93</v>
      </c>
      <c r="H88">
        <v>168.29108888888885</v>
      </c>
      <c r="I88">
        <f t="shared" si="12"/>
        <v>-89.679388888888923</v>
      </c>
      <c r="J88">
        <f t="shared" si="20"/>
        <v>2.2720247295208726</v>
      </c>
      <c r="K88">
        <f t="shared" si="16"/>
        <v>-2.4000000000000909</v>
      </c>
      <c r="L88">
        <f t="shared" si="18"/>
        <v>1289.9299999999998</v>
      </c>
      <c r="M88">
        <f>AVERAGE(B88:B137)</f>
        <v>1302.732</v>
      </c>
      <c r="N88">
        <f t="shared" si="21"/>
        <v>0.70999999999980901</v>
      </c>
      <c r="O88">
        <v>-121.82383333333354</v>
      </c>
      <c r="P88">
        <f t="shared" si="19"/>
        <v>227.20247295208728</v>
      </c>
    </row>
    <row r="89" spans="1:18">
      <c r="A89" s="1">
        <v>88</v>
      </c>
      <c r="B89">
        <v>1291.5999999999999</v>
      </c>
      <c r="C89">
        <f t="shared" si="17"/>
        <v>1218.6392000000001</v>
      </c>
      <c r="D89">
        <f t="shared" si="13"/>
        <v>0.171875</v>
      </c>
      <c r="E89">
        <f t="shared" si="14"/>
        <v>2539.5408266633426</v>
      </c>
      <c r="F89">
        <f t="shared" si="15"/>
        <v>72.960799999999836</v>
      </c>
      <c r="G89" t="s">
        <v>94</v>
      </c>
      <c r="H89">
        <v>163.41796666666673</v>
      </c>
      <c r="I89">
        <f t="shared" si="12"/>
        <v>-90.457166666666893</v>
      </c>
      <c r="J89">
        <f t="shared" si="20"/>
        <v>-0.18581604211830993</v>
      </c>
      <c r="K89">
        <f t="shared" si="16"/>
        <v>6.3000000000001819</v>
      </c>
      <c r="L89">
        <f t="shared" si="18"/>
        <v>1290.6949999999999</v>
      </c>
      <c r="M89">
        <f>AVERAGE(B89:B139)</f>
        <v>1299.7803921568627</v>
      </c>
      <c r="N89">
        <f t="shared" si="21"/>
        <v>0.76500000000010004</v>
      </c>
      <c r="O89">
        <v>-89.679388888888923</v>
      </c>
      <c r="P89">
        <f t="shared" si="19"/>
        <v>-18.581604211830992</v>
      </c>
      <c r="R89" s="9" t="s">
        <v>522</v>
      </c>
    </row>
    <row r="90" spans="1:18">
      <c r="A90" s="1">
        <v>89</v>
      </c>
      <c r="B90">
        <v>1297.9000000000001</v>
      </c>
      <c r="C90">
        <f t="shared" si="17"/>
        <v>1221.8901000000001</v>
      </c>
      <c r="D90">
        <f t="shared" si="13"/>
        <v>0.173828125</v>
      </c>
      <c r="E90">
        <f t="shared" si="14"/>
        <v>3142.755180080153</v>
      </c>
      <c r="F90">
        <f t="shared" si="15"/>
        <v>76.009900000000016</v>
      </c>
      <c r="G90" t="s">
        <v>95</v>
      </c>
      <c r="H90">
        <v>168.63373333333334</v>
      </c>
      <c r="I90">
        <f t="shared" si="12"/>
        <v>-92.623833333333323</v>
      </c>
      <c r="J90">
        <f t="shared" si="20"/>
        <v>0.48539949148626094</v>
      </c>
      <c r="K90">
        <f t="shared" si="16"/>
        <v>32.5</v>
      </c>
      <c r="L90">
        <f t="shared" si="18"/>
        <v>1292.23</v>
      </c>
      <c r="M90">
        <f>AVERAGE(B90:B139)</f>
        <v>1299.944</v>
      </c>
      <c r="N90">
        <f t="shared" si="21"/>
        <v>1.5350000000000819</v>
      </c>
      <c r="O90">
        <v>-90.457166666666893</v>
      </c>
      <c r="P90">
        <f t="shared" si="19"/>
        <v>48.539949148626093</v>
      </c>
    </row>
    <row r="91" spans="1:18">
      <c r="A91" s="1">
        <v>90</v>
      </c>
      <c r="B91">
        <v>1330.4</v>
      </c>
      <c r="C91">
        <f t="shared" si="17"/>
        <v>1225.1410000000001</v>
      </c>
      <c r="D91">
        <f t="shared" si="13"/>
        <v>0.17578125</v>
      </c>
      <c r="E91">
        <f t="shared" si="14"/>
        <v>2959.4492945150591</v>
      </c>
      <c r="F91">
        <f t="shared" si="15"/>
        <v>105.25900000000001</v>
      </c>
      <c r="G91" t="s">
        <v>96</v>
      </c>
      <c r="H91">
        <v>175.06061111111109</v>
      </c>
      <c r="I91">
        <f t="shared" si="12"/>
        <v>-69.801611111111072</v>
      </c>
      <c r="J91">
        <f t="shared" si="20"/>
        <v>2.4428743235117256</v>
      </c>
      <c r="K91">
        <f t="shared" si="16"/>
        <v>20.799999999999955</v>
      </c>
      <c r="L91">
        <f t="shared" si="18"/>
        <v>1294.0800000000002</v>
      </c>
      <c r="M91">
        <f>AVERAGE(B91:B141)</f>
        <v>1296.1274509803923</v>
      </c>
      <c r="N91">
        <f t="shared" si="21"/>
        <v>1.8500000000001364</v>
      </c>
      <c r="O91">
        <v>-92.623833333333323</v>
      </c>
      <c r="P91">
        <f t="shared" si="19"/>
        <v>244.28743235117255</v>
      </c>
    </row>
    <row r="92" spans="1:18">
      <c r="A92" s="1">
        <v>91</v>
      </c>
      <c r="B92">
        <v>1351.2</v>
      </c>
      <c r="C92">
        <f t="shared" si="17"/>
        <v>1228.3919000000001</v>
      </c>
      <c r="D92">
        <f t="shared" si="13"/>
        <v>0.177734375</v>
      </c>
      <c r="E92">
        <f t="shared" si="14"/>
        <v>2232.035112576737</v>
      </c>
      <c r="F92">
        <f t="shared" si="15"/>
        <v>122.80809999999997</v>
      </c>
      <c r="G92" t="s">
        <v>97</v>
      </c>
      <c r="H92">
        <v>175.60114444444446</v>
      </c>
      <c r="I92">
        <f t="shared" si="12"/>
        <v>-52.79304444444449</v>
      </c>
      <c r="J92">
        <f t="shared" si="20"/>
        <v>1.539372409709884</v>
      </c>
      <c r="K92">
        <f t="shared" si="16"/>
        <v>-26</v>
      </c>
      <c r="L92">
        <f t="shared" si="18"/>
        <v>1294.2149999999999</v>
      </c>
      <c r="M92">
        <f>AVERAGE(B92:B141)</f>
        <v>1295.4419999999998</v>
      </c>
      <c r="N92">
        <f t="shared" si="21"/>
        <v>0.13499999999976353</v>
      </c>
      <c r="O92">
        <v>-69.801611111111072</v>
      </c>
      <c r="P92">
        <f t="shared" si="19"/>
        <v>153.9372409709884</v>
      </c>
    </row>
    <row r="93" spans="1:18">
      <c r="A93" s="1">
        <v>92</v>
      </c>
      <c r="B93">
        <v>1325.2</v>
      </c>
      <c r="C93">
        <f t="shared" si="17"/>
        <v>1231.6428000000001</v>
      </c>
      <c r="D93">
        <f t="shared" si="13"/>
        <v>0.1796875</v>
      </c>
      <c r="E93">
        <f t="shared" si="14"/>
        <v>1917.795521266637</v>
      </c>
      <c r="F93">
        <f t="shared" si="15"/>
        <v>93.557199999999966</v>
      </c>
      <c r="G93" t="s">
        <v>98</v>
      </c>
      <c r="H93">
        <v>183.85024444444448</v>
      </c>
      <c r="I93">
        <f t="shared" si="12"/>
        <v>-90.293044444444519</v>
      </c>
      <c r="J93">
        <f t="shared" si="20"/>
        <v>-1.9619680048294599</v>
      </c>
      <c r="K93">
        <f t="shared" si="16"/>
        <v>-27.700000000000045</v>
      </c>
      <c r="L93">
        <f t="shared" si="18"/>
        <v>1294.2599999999998</v>
      </c>
      <c r="M93">
        <f>AVERAGE(B93:B143)</f>
        <v>1290.998039215686</v>
      </c>
      <c r="N93">
        <f t="shared" si="21"/>
        <v>4.4999999999845386E-2</v>
      </c>
      <c r="O93">
        <v>-52.79304444444449</v>
      </c>
      <c r="P93">
        <f t="shared" si="19"/>
        <v>-196.19680048294597</v>
      </c>
    </row>
    <row r="94" spans="1:18">
      <c r="A94" s="1">
        <v>93</v>
      </c>
      <c r="B94">
        <v>1297.5</v>
      </c>
      <c r="C94">
        <f t="shared" si="17"/>
        <v>1234.8937000000001</v>
      </c>
      <c r="D94">
        <f t="shared" si="13"/>
        <v>0.181640625</v>
      </c>
      <c r="E94">
        <f t="shared" si="14"/>
        <v>2001.6346187343286</v>
      </c>
      <c r="F94">
        <f t="shared" si="15"/>
        <v>62.606299999999919</v>
      </c>
      <c r="G94" t="s">
        <v>99</v>
      </c>
      <c r="H94">
        <v>187.5549</v>
      </c>
      <c r="I94">
        <f t="shared" si="12"/>
        <v>-124.94860000000008</v>
      </c>
      <c r="J94">
        <f>((B94-B93)/B94)*100</f>
        <v>-2.1348747591522192</v>
      </c>
      <c r="K94">
        <f t="shared" si="16"/>
        <v>-12.700000000000045</v>
      </c>
      <c r="L94">
        <f t="shared" si="18"/>
        <v>1294.8649999999998</v>
      </c>
      <c r="M94">
        <f>AVERAGE(B94:B143)</f>
        <v>1290.3139999999999</v>
      </c>
      <c r="N94">
        <f t="shared" si="21"/>
        <v>0.60500000000001819</v>
      </c>
      <c r="O94">
        <v>-90.293044444444519</v>
      </c>
      <c r="P94">
        <f t="shared" si="19"/>
        <v>-213.48747591522192</v>
      </c>
    </row>
    <row r="95" spans="1:18">
      <c r="A95" s="1">
        <v>94</v>
      </c>
      <c r="B95">
        <v>1284.8</v>
      </c>
      <c r="C95">
        <f t="shared" si="17"/>
        <v>1238.1446000000001</v>
      </c>
      <c r="D95">
        <f t="shared" si="13"/>
        <v>0.18359375</v>
      </c>
      <c r="E95">
        <f t="shared" si="14"/>
        <v>2857.4968958620543</v>
      </c>
      <c r="F95">
        <f t="shared" si="15"/>
        <v>46.655399999999872</v>
      </c>
      <c r="G95" t="s">
        <v>100</v>
      </c>
      <c r="H95">
        <v>181.60400000000004</v>
      </c>
      <c r="I95">
        <f t="shared" si="12"/>
        <v>-134.94860000000017</v>
      </c>
      <c r="J95">
        <f t="shared" si="20"/>
        <v>-0.98848069738481059</v>
      </c>
      <c r="K95">
        <f t="shared" si="16"/>
        <v>-9.8999999999998636</v>
      </c>
      <c r="L95">
        <f t="shared" si="18"/>
        <v>1295.7749999999999</v>
      </c>
      <c r="M95">
        <f>AVERAGE(B95:B145)</f>
        <v>1286.6607843137253</v>
      </c>
      <c r="N95">
        <f t="shared" si="21"/>
        <v>0.91000000000008185</v>
      </c>
      <c r="O95">
        <v>-124.94860000000008</v>
      </c>
      <c r="P95">
        <f t="shared" si="19"/>
        <v>-98.848069738481058</v>
      </c>
    </row>
    <row r="96" spans="1:18">
      <c r="A96" s="1">
        <v>95</v>
      </c>
      <c r="B96">
        <v>1274.9000000000001</v>
      </c>
      <c r="C96">
        <f t="shared" si="17"/>
        <v>1241.3955000000001</v>
      </c>
      <c r="D96">
        <f t="shared" si="13"/>
        <v>0.185546875</v>
      </c>
      <c r="E96">
        <f t="shared" si="14"/>
        <v>2985.4324176515447</v>
      </c>
      <c r="F96">
        <f t="shared" si="15"/>
        <v>33.504500000000007</v>
      </c>
      <c r="G96" t="s">
        <v>101</v>
      </c>
      <c r="H96">
        <v>174.28643333333338</v>
      </c>
      <c r="I96">
        <f t="shared" si="12"/>
        <v>-140.78193333333337</v>
      </c>
      <c r="J96">
        <f t="shared" si="20"/>
        <v>-0.77653149266608068</v>
      </c>
      <c r="K96">
        <f t="shared" si="16"/>
        <v>29.699999999999818</v>
      </c>
      <c r="L96">
        <f t="shared" si="18"/>
        <v>1299.3449999999998</v>
      </c>
      <c r="M96">
        <f>AVERAGE(B96:B145)</f>
        <v>1286.6979999999996</v>
      </c>
      <c r="N96">
        <f t="shared" si="21"/>
        <v>3.5699999999999363</v>
      </c>
      <c r="O96">
        <v>-134.94860000000017</v>
      </c>
      <c r="P96">
        <f t="shared" si="19"/>
        <v>-77.653149266608068</v>
      </c>
    </row>
    <row r="97" spans="1:23">
      <c r="A97" s="1">
        <v>96</v>
      </c>
      <c r="B97">
        <v>1304.5999999999999</v>
      </c>
      <c r="C97">
        <f t="shared" si="17"/>
        <v>1244.6464000000001</v>
      </c>
      <c r="D97">
        <f t="shared" si="13"/>
        <v>0.1875</v>
      </c>
      <c r="E97">
        <f t="shared" si="14"/>
        <v>3274.9358967539724</v>
      </c>
      <c r="F97">
        <f t="shared" si="15"/>
        <v>59.953599999999824</v>
      </c>
      <c r="G97" t="s">
        <v>102</v>
      </c>
      <c r="H97">
        <v>168.29108888888885</v>
      </c>
      <c r="I97">
        <f t="shared" si="12"/>
        <v>-108.33748888888903</v>
      </c>
      <c r="J97">
        <f t="shared" si="20"/>
        <v>2.276559865092735</v>
      </c>
      <c r="K97">
        <f t="shared" si="16"/>
        <v>-24.099999999999909</v>
      </c>
      <c r="L97">
        <f t="shared" si="18"/>
        <v>1302.1149999999998</v>
      </c>
      <c r="M97">
        <f>AVERAGE(B97:B147)</f>
        <v>1283.4803921568625</v>
      </c>
      <c r="N97">
        <f t="shared" si="21"/>
        <v>2.7699999999999818</v>
      </c>
      <c r="O97">
        <v>-140.78193333333337</v>
      </c>
      <c r="P97">
        <f t="shared" si="19"/>
        <v>227.6559865092735</v>
      </c>
    </row>
    <row r="98" spans="1:23">
      <c r="A98" s="1">
        <v>97</v>
      </c>
      <c r="B98">
        <v>1280.5</v>
      </c>
      <c r="C98">
        <f t="shared" si="17"/>
        <v>1247.8973000000001</v>
      </c>
      <c r="D98">
        <f t="shared" si="13"/>
        <v>0.189453125</v>
      </c>
      <c r="E98">
        <f t="shared" si="14"/>
        <v>2189.0562233031783</v>
      </c>
      <c r="F98">
        <f t="shared" si="15"/>
        <v>32.602699999999913</v>
      </c>
      <c r="G98" t="s">
        <v>103</v>
      </c>
      <c r="H98">
        <v>163.41796666666673</v>
      </c>
      <c r="I98">
        <f t="shared" si="12"/>
        <v>-130.81526666666682</v>
      </c>
      <c r="J98">
        <f t="shared" si="20"/>
        <v>-1.8820773135493876</v>
      </c>
      <c r="K98">
        <f t="shared" si="16"/>
        <v>-8.7000000000000455</v>
      </c>
      <c r="L98">
        <f t="shared" si="18"/>
        <v>1303.0549999999998</v>
      </c>
      <c r="M98">
        <f>AVERAGE(B98:B147)</f>
        <v>1283.0579999999995</v>
      </c>
      <c r="N98">
        <f t="shared" si="21"/>
        <v>0.94000000000005457</v>
      </c>
      <c r="O98">
        <v>-108.33748888888903</v>
      </c>
      <c r="P98">
        <f t="shared" si="19"/>
        <v>-188.20773135493874</v>
      </c>
    </row>
    <row r="99" spans="1:23">
      <c r="A99" s="1">
        <v>98</v>
      </c>
      <c r="B99">
        <v>1271.8</v>
      </c>
      <c r="C99">
        <f t="shared" si="17"/>
        <v>1251.1482000000001</v>
      </c>
      <c r="D99">
        <f t="shared" si="13"/>
        <v>0.19140625</v>
      </c>
      <c r="E99">
        <f t="shared" si="14"/>
        <v>2663.571551616878</v>
      </c>
      <c r="F99">
        <f t="shared" si="15"/>
        <v>20.651799999999866</v>
      </c>
      <c r="G99" t="s">
        <v>104</v>
      </c>
      <c r="H99">
        <v>168.63373333333334</v>
      </c>
      <c r="I99">
        <f t="shared" si="12"/>
        <v>-147.98193333333347</v>
      </c>
      <c r="J99">
        <f t="shared" si="20"/>
        <v>-0.68406982229910729</v>
      </c>
      <c r="K99">
        <f t="shared" si="16"/>
        <v>-2.5999999999999091</v>
      </c>
      <c r="L99">
        <f t="shared" si="18"/>
        <v>1305.23</v>
      </c>
      <c r="M99">
        <f>AVERAGE(B99:B149)</f>
        <v>1280.3921568627447</v>
      </c>
      <c r="N99">
        <f t="shared" si="21"/>
        <v>2.1750000000001819</v>
      </c>
      <c r="O99">
        <v>-130.81526666666682</v>
      </c>
      <c r="P99">
        <f t="shared" si="19"/>
        <v>-68.406982229910724</v>
      </c>
    </row>
    <row r="100" spans="1:23">
      <c r="A100" s="1">
        <v>99</v>
      </c>
      <c r="B100">
        <v>1269.2</v>
      </c>
      <c r="C100">
        <f t="shared" si="17"/>
        <v>1254.3991000000001</v>
      </c>
      <c r="D100">
        <f t="shared" si="13"/>
        <v>0.193359375</v>
      </c>
      <c r="E100">
        <f t="shared" si="14"/>
        <v>1787.9866446810111</v>
      </c>
      <c r="F100">
        <f t="shared" si="15"/>
        <v>14.800899999999956</v>
      </c>
      <c r="G100" t="s">
        <v>105</v>
      </c>
      <c r="H100">
        <v>175.06061111111109</v>
      </c>
      <c r="I100">
        <f t="shared" si="12"/>
        <v>-160.25971111111113</v>
      </c>
      <c r="J100">
        <f t="shared" si="20"/>
        <v>-0.20485345099274416</v>
      </c>
      <c r="K100">
        <f t="shared" si="16"/>
        <v>5</v>
      </c>
      <c r="L100">
        <f t="shared" si="18"/>
        <v>1307.2549999999999</v>
      </c>
      <c r="M100">
        <f>AVERAGE(B100:B149)</f>
        <v>1280.5639999999996</v>
      </c>
      <c r="N100">
        <f t="shared" si="21"/>
        <v>2.0249999999998636</v>
      </c>
      <c r="O100">
        <v>-147.98193333333347</v>
      </c>
      <c r="P100">
        <f t="shared" si="19"/>
        <v>-20.485345099274415</v>
      </c>
    </row>
    <row r="101" spans="1:23">
      <c r="A101" s="1">
        <v>100</v>
      </c>
      <c r="B101">
        <v>1274.2</v>
      </c>
      <c r="C101">
        <f t="shared" si="17"/>
        <v>1257.6500000000001</v>
      </c>
      <c r="D101">
        <f t="shared" si="13"/>
        <v>0.1953125</v>
      </c>
      <c r="E101">
        <f t="shared" si="14"/>
        <v>2540.1795535429592</v>
      </c>
      <c r="F101">
        <f t="shared" si="15"/>
        <v>16.549999999999955</v>
      </c>
      <c r="G101" t="s">
        <v>106</v>
      </c>
      <c r="H101">
        <v>175.60114444444446</v>
      </c>
      <c r="I101">
        <f t="shared" si="12"/>
        <v>-159.0511444444445</v>
      </c>
      <c r="J101">
        <f t="shared" si="20"/>
        <v>0.39240307644011929</v>
      </c>
      <c r="K101">
        <f t="shared" si="16"/>
        <v>22.299999999999955</v>
      </c>
      <c r="L101">
        <f t="shared" si="18"/>
        <v>1311.2900000000002</v>
      </c>
      <c r="M101">
        <f>AVERAGE(B101:B151)</f>
        <v>1278.8921568627447</v>
      </c>
      <c r="N101">
        <f t="shared" si="21"/>
        <v>4.0350000000003092</v>
      </c>
      <c r="O101">
        <v>-160.25971111111113</v>
      </c>
      <c r="P101">
        <f t="shared" si="19"/>
        <v>39.240307644011928</v>
      </c>
    </row>
    <row r="102" spans="1:23">
      <c r="A102" s="1">
        <v>101</v>
      </c>
      <c r="B102">
        <v>1296.5</v>
      </c>
      <c r="C102">
        <f t="shared" si="17"/>
        <v>1260.9009000000001</v>
      </c>
      <c r="D102">
        <f t="shared" si="13"/>
        <v>0.197265625</v>
      </c>
      <c r="E102">
        <f t="shared" si="14"/>
        <v>2370.2727649637905</v>
      </c>
      <c r="F102">
        <f t="shared" si="15"/>
        <v>35.599099999999908</v>
      </c>
      <c r="G102" t="s">
        <v>107</v>
      </c>
      <c r="H102">
        <v>183.85024444444448</v>
      </c>
      <c r="I102">
        <f t="shared" si="12"/>
        <v>-148.25114444444458</v>
      </c>
      <c r="J102">
        <f t="shared" si="20"/>
        <v>1.7200154261473162</v>
      </c>
      <c r="K102">
        <f t="shared" si="16"/>
        <v>-9.2000000000000455</v>
      </c>
      <c r="L102">
        <f t="shared" si="18"/>
        <v>1313.9450000000002</v>
      </c>
      <c r="M102">
        <f>AVERAGE(B102:B151)</f>
        <v>1278.9859999999999</v>
      </c>
      <c r="N102">
        <f t="shared" si="21"/>
        <v>2.6549999999999727</v>
      </c>
      <c r="O102">
        <v>-159.0511444444445</v>
      </c>
      <c r="P102">
        <f t="shared" si="19"/>
        <v>172.00154261473162</v>
      </c>
    </row>
    <row r="103" spans="1:23">
      <c r="A103" s="1">
        <v>102</v>
      </c>
      <c r="B103">
        <v>1287.3</v>
      </c>
      <c r="C103">
        <f t="shared" si="17"/>
        <v>1264.1518000000001</v>
      </c>
      <c r="D103">
        <f t="shared" si="13"/>
        <v>0.19921875</v>
      </c>
      <c r="E103">
        <f t="shared" si="14"/>
        <v>1916.3318256840369</v>
      </c>
      <c r="F103">
        <f t="shared" si="15"/>
        <v>23.148199999999861</v>
      </c>
      <c r="G103" t="s">
        <v>108</v>
      </c>
      <c r="H103">
        <v>187.5549</v>
      </c>
      <c r="I103">
        <f t="shared" si="12"/>
        <v>-164.40670000000014</v>
      </c>
      <c r="J103">
        <f t="shared" si="20"/>
        <v>-0.71467412413579157</v>
      </c>
      <c r="K103">
        <f t="shared" si="16"/>
        <v>-5</v>
      </c>
      <c r="L103">
        <f t="shared" si="18"/>
        <v>1315.925</v>
      </c>
      <c r="M103">
        <f>AVERAGE(B103:B153)</f>
        <v>1276.3666666666666</v>
      </c>
      <c r="N103">
        <f t="shared" si="21"/>
        <v>1.9799999999997908</v>
      </c>
      <c r="O103">
        <v>-148.25114444444458</v>
      </c>
      <c r="P103">
        <f t="shared" si="19"/>
        <v>-71.467412413579154</v>
      </c>
    </row>
    <row r="104" spans="1:23">
      <c r="A104" s="1">
        <v>103</v>
      </c>
      <c r="B104">
        <v>1282.3</v>
      </c>
      <c r="C104">
        <f t="shared" si="17"/>
        <v>1267.4027000000001</v>
      </c>
      <c r="D104">
        <f t="shared" si="13"/>
        <v>0.201171875</v>
      </c>
      <c r="E104">
        <f t="shared" si="14"/>
        <v>915.85718342238113</v>
      </c>
      <c r="F104">
        <f t="shared" si="15"/>
        <v>14.897299999999859</v>
      </c>
      <c r="G104" t="s">
        <v>109</v>
      </c>
      <c r="H104">
        <v>181.60400000000004</v>
      </c>
      <c r="I104">
        <f t="shared" si="12"/>
        <v>-166.70670000000018</v>
      </c>
      <c r="J104">
        <f t="shared" si="20"/>
        <v>-0.38992435467519304</v>
      </c>
      <c r="K104">
        <f t="shared" si="16"/>
        <v>-33.899999999999864</v>
      </c>
      <c r="L104">
        <f t="shared" si="18"/>
        <v>1318.9550000000002</v>
      </c>
      <c r="M104">
        <f>AVERAGE(B104:B153)</f>
        <v>1276.1479999999999</v>
      </c>
      <c r="N104">
        <f t="shared" si="21"/>
        <v>3.0300000000002001</v>
      </c>
      <c r="O104">
        <v>-164.40670000000014</v>
      </c>
      <c r="P104">
        <f t="shared" si="19"/>
        <v>-38.992435467519307</v>
      </c>
    </row>
    <row r="105" spans="1:23">
      <c r="A105" s="1">
        <v>104</v>
      </c>
      <c r="B105">
        <v>1248.4000000000001</v>
      </c>
      <c r="C105">
        <f t="shared" si="17"/>
        <v>1270.6536000000001</v>
      </c>
      <c r="D105">
        <f t="shared" si="13"/>
        <v>0.203125</v>
      </c>
      <c r="E105">
        <f t="shared" si="14"/>
        <v>1140.5713513246214</v>
      </c>
      <c r="F105">
        <f t="shared" si="15"/>
        <v>-22.253600000000006</v>
      </c>
      <c r="G105" t="s">
        <v>110</v>
      </c>
      <c r="H105">
        <v>174.28643333333338</v>
      </c>
      <c r="I105">
        <f t="shared" si="12"/>
        <v>-196.54003333333338</v>
      </c>
      <c r="J105">
        <f t="shared" si="20"/>
        <v>-2.7154758090355542</v>
      </c>
      <c r="K105">
        <f t="shared" si="16"/>
        <v>9.0999999999999091</v>
      </c>
      <c r="L105">
        <f t="shared" si="18"/>
        <v>1321.7550000000001</v>
      </c>
      <c r="M105">
        <f>AVERAGE(B105:B155)</f>
        <v>1273.9470588235292</v>
      </c>
      <c r="N105">
        <f t="shared" si="21"/>
        <v>2.7999999999999545</v>
      </c>
      <c r="O105">
        <v>-166.70670000000018</v>
      </c>
      <c r="P105">
        <f t="shared" si="19"/>
        <v>-271.5475809035554</v>
      </c>
    </row>
    <row r="106" spans="1:23">
      <c r="A106" s="1">
        <v>105</v>
      </c>
      <c r="B106">
        <v>1257.5</v>
      </c>
      <c r="C106">
        <f t="shared" si="17"/>
        <v>1273.9045000000001</v>
      </c>
      <c r="D106">
        <f t="shared" si="13"/>
        <v>0.205078125</v>
      </c>
      <c r="E106">
        <f t="shared" si="14"/>
        <v>1341.0434658160525</v>
      </c>
      <c r="F106">
        <f t="shared" si="15"/>
        <v>-16.404500000000098</v>
      </c>
      <c r="G106" t="s">
        <v>111</v>
      </c>
      <c r="H106">
        <v>168.29108888888885</v>
      </c>
      <c r="I106">
        <f t="shared" si="12"/>
        <v>-184.69558888888895</v>
      </c>
      <c r="J106">
        <f t="shared" si="20"/>
        <v>0.72365805168985364</v>
      </c>
      <c r="K106">
        <f t="shared" si="16"/>
        <v>21.299999999999955</v>
      </c>
      <c r="L106">
        <f t="shared" si="18"/>
        <v>1325.5050000000001</v>
      </c>
      <c r="M106">
        <f>AVERAGE(B106:B155)</f>
        <v>1274.4579999999996</v>
      </c>
      <c r="N106">
        <f t="shared" si="21"/>
        <v>3.75</v>
      </c>
      <c r="O106">
        <v>-196.54003333333338</v>
      </c>
      <c r="P106">
        <f t="shared" si="19"/>
        <v>72.365805168985361</v>
      </c>
    </row>
    <row r="107" spans="1:23">
      <c r="A107" s="1">
        <v>106</v>
      </c>
      <c r="B107">
        <v>1278.8</v>
      </c>
      <c r="C107">
        <f t="shared" si="17"/>
        <v>1277.1554000000001</v>
      </c>
      <c r="D107">
        <f t="shared" si="13"/>
        <v>0.20703125</v>
      </c>
      <c r="E107">
        <f t="shared" si="14"/>
        <v>1988.7237954416817</v>
      </c>
      <c r="F107">
        <f t="shared" si="15"/>
        <v>1.6445999999998548</v>
      </c>
      <c r="G107" t="s">
        <v>112</v>
      </c>
      <c r="H107">
        <v>163.41796666666673</v>
      </c>
      <c r="I107">
        <f t="shared" si="12"/>
        <v>-161.77336666666687</v>
      </c>
      <c r="J107">
        <f t="shared" si="20"/>
        <v>1.6656240225211099</v>
      </c>
      <c r="K107">
        <f t="shared" si="16"/>
        <v>30.5</v>
      </c>
      <c r="L107">
        <f t="shared" si="18"/>
        <v>1328.3650000000002</v>
      </c>
      <c r="M107">
        <f>AVERAGE(B107:B157)</f>
        <v>1273.411764705882</v>
      </c>
      <c r="N107">
        <f t="shared" si="21"/>
        <v>2.8600000000001273</v>
      </c>
      <c r="O107">
        <v>-184.69558888888895</v>
      </c>
      <c r="P107">
        <f t="shared" si="19"/>
        <v>166.56240225211099</v>
      </c>
      <c r="R107" s="3" t="s">
        <v>552</v>
      </c>
    </row>
    <row r="108" spans="1:23">
      <c r="A108" s="1">
        <v>107</v>
      </c>
      <c r="B108">
        <v>1309.3</v>
      </c>
      <c r="C108">
        <f t="shared" si="17"/>
        <v>1280.4062999999999</v>
      </c>
      <c r="D108">
        <f t="shared" si="13"/>
        <v>0.208984375</v>
      </c>
      <c r="E108">
        <f t="shared" si="14"/>
        <v>2534.6313383719184</v>
      </c>
      <c r="F108">
        <f t="shared" si="15"/>
        <v>28.893700000000081</v>
      </c>
      <c r="G108" t="s">
        <v>113</v>
      </c>
      <c r="H108">
        <v>168.63373333333334</v>
      </c>
      <c r="I108">
        <f t="shared" si="12"/>
        <v>-139.74003333333326</v>
      </c>
      <c r="J108">
        <f t="shared" si="20"/>
        <v>2.3294890399450088</v>
      </c>
      <c r="K108">
        <f t="shared" si="16"/>
        <v>13</v>
      </c>
      <c r="L108">
        <f t="shared" si="18"/>
        <v>1330.46</v>
      </c>
      <c r="M108">
        <f>AVERAGE(B108:B157)</f>
        <v>1273.3039999999996</v>
      </c>
      <c r="N108">
        <f t="shared" si="21"/>
        <v>2.0949999999997999</v>
      </c>
      <c r="O108">
        <v>-161.77336666666687</v>
      </c>
      <c r="P108">
        <f t="shared" si="19"/>
        <v>232.94890399450088</v>
      </c>
    </row>
    <row r="109" spans="1:23">
      <c r="A109" s="1">
        <v>108</v>
      </c>
      <c r="B109">
        <v>1322.3</v>
      </c>
      <c r="C109">
        <f t="shared" si="17"/>
        <v>1283.6571999999999</v>
      </c>
      <c r="D109">
        <f t="shared" si="13"/>
        <v>0.2109375</v>
      </c>
      <c r="E109">
        <f t="shared" si="14"/>
        <v>2861.8368095774445</v>
      </c>
      <c r="F109">
        <f t="shared" si="15"/>
        <v>38.642800000000079</v>
      </c>
      <c r="G109" t="s">
        <v>114</v>
      </c>
      <c r="H109">
        <v>175.06061111111109</v>
      </c>
      <c r="I109">
        <f t="shared" si="12"/>
        <v>-136.41781111111101</v>
      </c>
      <c r="J109">
        <f t="shared" si="20"/>
        <v>0.98313544581411172</v>
      </c>
      <c r="K109">
        <f t="shared" si="16"/>
        <v>12.600000000000136</v>
      </c>
      <c r="L109">
        <f t="shared" si="18"/>
        <v>1329.56</v>
      </c>
      <c r="M109">
        <f>AVERAGE(B109:B159)</f>
        <v>1271.6745098039214</v>
      </c>
      <c r="N109">
        <f t="shared" si="21"/>
        <v>-0.90000000000009095</v>
      </c>
      <c r="O109">
        <v>-139.74003333333326</v>
      </c>
      <c r="P109">
        <f t="shared" si="19"/>
        <v>98.313544581411179</v>
      </c>
      <c r="S109" t="s">
        <v>637</v>
      </c>
    </row>
    <row r="110" spans="1:23">
      <c r="A110" s="1">
        <v>109</v>
      </c>
      <c r="B110">
        <v>1334.9</v>
      </c>
      <c r="C110">
        <f t="shared" si="17"/>
        <v>1286.9080999999999</v>
      </c>
      <c r="D110">
        <f t="shared" si="13"/>
        <v>0.212890625</v>
      </c>
      <c r="E110">
        <f t="shared" si="14"/>
        <v>1677.682797990941</v>
      </c>
      <c r="F110">
        <f t="shared" si="15"/>
        <v>47.991900000000214</v>
      </c>
      <c r="G110" t="s">
        <v>115</v>
      </c>
      <c r="H110">
        <v>175.60114444444446</v>
      </c>
      <c r="I110">
        <f t="shared" si="12"/>
        <v>-127.60924444444424</v>
      </c>
      <c r="J110">
        <f t="shared" si="20"/>
        <v>0.94389092815942277</v>
      </c>
      <c r="K110">
        <f t="shared" si="16"/>
        <v>-1.8000000000001819</v>
      </c>
      <c r="L110">
        <f t="shared" si="18"/>
        <v>1328.6299999999999</v>
      </c>
      <c r="M110">
        <f>AVERAGE(B110:B159)</f>
        <v>1270.6619999999998</v>
      </c>
      <c r="N110">
        <f t="shared" si="21"/>
        <v>-0.93000000000006366</v>
      </c>
      <c r="O110">
        <v>-136.41781111111101</v>
      </c>
      <c r="P110">
        <f t="shared" si="19"/>
        <v>94.389092815942277</v>
      </c>
      <c r="S110" t="s">
        <v>2</v>
      </c>
    </row>
    <row r="111" spans="1:23">
      <c r="A111" s="1">
        <v>110</v>
      </c>
      <c r="B111">
        <v>1333.1</v>
      </c>
      <c r="C111">
        <f t="shared" si="17"/>
        <v>1290.1589999999999</v>
      </c>
      <c r="D111">
        <f t="shared" si="13"/>
        <v>0.21484375</v>
      </c>
      <c r="E111">
        <f t="shared" si="14"/>
        <v>2977.4365066073301</v>
      </c>
      <c r="F111">
        <f t="shared" si="15"/>
        <v>42.941000000000031</v>
      </c>
      <c r="G111" t="s">
        <v>116</v>
      </c>
      <c r="H111">
        <v>183.85024444444448</v>
      </c>
      <c r="I111">
        <f t="shared" si="12"/>
        <v>-140.90924444444445</v>
      </c>
      <c r="J111">
        <f t="shared" si="20"/>
        <v>-0.13502362913511229</v>
      </c>
      <c r="K111">
        <f t="shared" si="16"/>
        <v>19</v>
      </c>
      <c r="L111">
        <f t="shared" si="18"/>
        <v>1326.85</v>
      </c>
      <c r="M111">
        <f>AVERAGE(B111:B161)</f>
        <v>1269.9411764705881</v>
      </c>
      <c r="N111">
        <f t="shared" si="21"/>
        <v>-1.7799999999999727</v>
      </c>
      <c r="O111">
        <v>-127.60924444444424</v>
      </c>
      <c r="P111">
        <f t="shared" si="19"/>
        <v>-13.502362913511229</v>
      </c>
      <c r="T111" t="s">
        <v>539</v>
      </c>
      <c r="U111" t="s">
        <v>4</v>
      </c>
      <c r="V111" t="s">
        <v>5</v>
      </c>
      <c r="W111" t="s">
        <v>565</v>
      </c>
    </row>
    <row r="112" spans="1:23">
      <c r="A112" s="1">
        <v>111</v>
      </c>
      <c r="B112">
        <v>1352.1</v>
      </c>
      <c r="C112">
        <f t="shared" si="17"/>
        <v>1293.4098999999999</v>
      </c>
      <c r="D112">
        <f t="shared" si="13"/>
        <v>0.216796875</v>
      </c>
      <c r="E112">
        <f t="shared" si="14"/>
        <v>1955.076146987047</v>
      </c>
      <c r="F112">
        <f t="shared" si="15"/>
        <v>58.690100000000029</v>
      </c>
      <c r="G112" t="s">
        <v>117</v>
      </c>
      <c r="H112">
        <v>187.5549</v>
      </c>
      <c r="I112">
        <f t="shared" si="12"/>
        <v>-128.86479999999997</v>
      </c>
      <c r="J112">
        <f t="shared" si="20"/>
        <v>1.4052215072849643</v>
      </c>
      <c r="K112">
        <f t="shared" si="16"/>
        <v>-14.799999999999955</v>
      </c>
      <c r="L112">
        <f t="shared" si="18"/>
        <v>1325.3300000000002</v>
      </c>
      <c r="M112">
        <f>AVERAGE(B112:B161)</f>
        <v>1268.6779999999999</v>
      </c>
      <c r="N112">
        <f t="shared" si="21"/>
        <v>-1.5199999999997544</v>
      </c>
      <c r="O112">
        <v>-140.90924444444445</v>
      </c>
      <c r="P112">
        <f t="shared" si="19"/>
        <v>140.52215072849643</v>
      </c>
      <c r="S112" t="s">
        <v>568</v>
      </c>
      <c r="T112" t="s">
        <v>3</v>
      </c>
      <c r="U112">
        <f>AVERAGE(K2:K256)</f>
        <v>3.2243137254901963</v>
      </c>
      <c r="V112">
        <f>_xlfn.STDEV.P(K2:K256)</f>
        <v>30.515360918396606</v>
      </c>
      <c r="W112">
        <f>COUNT(K2:K256)</f>
        <v>255</v>
      </c>
    </row>
    <row r="113" spans="1:25">
      <c r="A113" s="1">
        <v>112</v>
      </c>
      <c r="B113">
        <v>1337.3</v>
      </c>
      <c r="C113">
        <f t="shared" si="17"/>
        <v>1296.6607999999999</v>
      </c>
      <c r="D113">
        <f t="shared" si="13"/>
        <v>0.21875</v>
      </c>
      <c r="E113">
        <f t="shared" si="14"/>
        <v>1859.2395901428745</v>
      </c>
      <c r="F113">
        <f t="shared" si="15"/>
        <v>40.639200000000073</v>
      </c>
      <c r="G113" t="s">
        <v>118</v>
      </c>
      <c r="H113">
        <v>181.60400000000004</v>
      </c>
      <c r="I113">
        <f t="shared" si="12"/>
        <v>-140.96479999999997</v>
      </c>
      <c r="J113">
        <f t="shared" si="20"/>
        <v>-1.1067075450534627</v>
      </c>
      <c r="K113">
        <f t="shared" si="16"/>
        <v>-21.599999999999909</v>
      </c>
      <c r="L113">
        <f t="shared" si="18"/>
        <v>1321.65</v>
      </c>
      <c r="M113">
        <f>AVERAGE(B113:B163)</f>
        <v>1267.7235294117645</v>
      </c>
      <c r="N113">
        <f t="shared" si="21"/>
        <v>-3.6800000000000637</v>
      </c>
      <c r="O113">
        <v>-128.86479999999997</v>
      </c>
      <c r="P113">
        <f t="shared" si="19"/>
        <v>-110.67075450534627</v>
      </c>
      <c r="S113" t="s">
        <v>569</v>
      </c>
      <c r="T113" t="s">
        <v>6</v>
      </c>
      <c r="U113">
        <f>AVERAGE(K257:K511)</f>
        <v>5.9552941176470595</v>
      </c>
      <c r="V113">
        <f>_xlfn.STDEV.P(K257:K511)</f>
        <v>46.969825539254536</v>
      </c>
      <c r="W113">
        <f>COUNT(K257:K511)</f>
        <v>255</v>
      </c>
    </row>
    <row r="114" spans="1:25">
      <c r="A114" s="1">
        <v>113</v>
      </c>
      <c r="B114">
        <v>1315.7</v>
      </c>
      <c r="C114">
        <f t="shared" si="17"/>
        <v>1299.9116999999999</v>
      </c>
      <c r="D114">
        <f t="shared" si="13"/>
        <v>0.220703125</v>
      </c>
      <c r="E114">
        <f t="shared" si="14"/>
        <v>1260.6109510133604</v>
      </c>
      <c r="F114">
        <f t="shared" si="15"/>
        <v>15.788300000000163</v>
      </c>
      <c r="G114" t="s">
        <v>119</v>
      </c>
      <c r="H114">
        <v>174.28643333333338</v>
      </c>
      <c r="I114">
        <f t="shared" si="12"/>
        <v>-158.49813333333321</v>
      </c>
      <c r="J114">
        <f t="shared" si="20"/>
        <v>-1.6417116363912676</v>
      </c>
      <c r="K114">
        <f t="shared" si="16"/>
        <v>40.5</v>
      </c>
      <c r="L114">
        <f t="shared" si="18"/>
        <v>1318.3200000000002</v>
      </c>
      <c r="M114">
        <f>AVERAGE(B114:B163)</f>
        <v>1266.3319999999999</v>
      </c>
      <c r="N114">
        <f t="shared" si="21"/>
        <v>-3.3299999999999272</v>
      </c>
      <c r="O114">
        <v>-140.96479999999997</v>
      </c>
      <c r="P114">
        <f t="shared" si="19"/>
        <v>-164.17116363912675</v>
      </c>
      <c r="S114" t="s">
        <v>571</v>
      </c>
    </row>
    <row r="115" spans="1:25">
      <c r="A115" s="1">
        <v>114</v>
      </c>
      <c r="B115">
        <v>1356.2</v>
      </c>
      <c r="C115">
        <f t="shared" si="17"/>
        <v>1303.1625999999999</v>
      </c>
      <c r="D115">
        <f t="shared" si="13"/>
        <v>0.22265625</v>
      </c>
      <c r="E115">
        <f t="shared" si="14"/>
        <v>2171.2337425428755</v>
      </c>
      <c r="F115">
        <f t="shared" si="15"/>
        <v>53.037400000000162</v>
      </c>
      <c r="G115" t="s">
        <v>120</v>
      </c>
      <c r="H115">
        <v>168.29108888888885</v>
      </c>
      <c r="I115">
        <f t="shared" si="12"/>
        <v>-115.25368888888869</v>
      </c>
      <c r="J115">
        <f t="shared" si="20"/>
        <v>2.986285208671287</v>
      </c>
      <c r="K115">
        <f t="shared" si="16"/>
        <v>-25.900000000000091</v>
      </c>
      <c r="L115">
        <f t="shared" si="18"/>
        <v>1315.26</v>
      </c>
      <c r="M115">
        <f>AVERAGE(B115:B165)</f>
        <v>1267.0803921568627</v>
      </c>
      <c r="N115">
        <f t="shared" si="21"/>
        <v>-3.0600000000001728</v>
      </c>
      <c r="O115">
        <v>-158.49813333333321</v>
      </c>
      <c r="P115">
        <f t="shared" si="19"/>
        <v>298.62852086712871</v>
      </c>
      <c r="T115" t="s">
        <v>695</v>
      </c>
    </row>
    <row r="116" spans="1:25">
      <c r="A116" s="1">
        <v>115</v>
      </c>
      <c r="B116">
        <v>1330.3</v>
      </c>
      <c r="C116">
        <f t="shared" si="17"/>
        <v>1306.4134999999999</v>
      </c>
      <c r="D116">
        <f t="shared" si="13"/>
        <v>0.224609375</v>
      </c>
      <c r="E116">
        <f t="shared" si="14"/>
        <v>2110.6277453985535</v>
      </c>
      <c r="F116">
        <f t="shared" si="15"/>
        <v>23.886500000000069</v>
      </c>
      <c r="G116" t="s">
        <v>121</v>
      </c>
      <c r="H116">
        <v>163.41796666666673</v>
      </c>
      <c r="I116">
        <f t="shared" si="12"/>
        <v>-139.53146666666666</v>
      </c>
      <c r="J116">
        <f t="shared" si="20"/>
        <v>-1.9469292640757794</v>
      </c>
      <c r="K116">
        <f t="shared" si="16"/>
        <v>-6.8999999999998636</v>
      </c>
      <c r="L116">
        <f t="shared" si="18"/>
        <v>1310.24</v>
      </c>
      <c r="M116">
        <f>AVERAGE(B116:B165)</f>
        <v>1265.2979999999998</v>
      </c>
      <c r="N116">
        <f t="shared" si="21"/>
        <v>-5.0199999999999818</v>
      </c>
      <c r="O116">
        <v>-115.25368888888869</v>
      </c>
      <c r="P116">
        <f t="shared" si="19"/>
        <v>-194.69292640757794</v>
      </c>
    </row>
    <row r="117" spans="1:25">
      <c r="A117" s="1">
        <v>116</v>
      </c>
      <c r="B117">
        <v>1323.4</v>
      </c>
      <c r="C117">
        <f t="shared" si="17"/>
        <v>1309.6643999999999</v>
      </c>
      <c r="D117">
        <f t="shared" si="13"/>
        <v>0.2265625</v>
      </c>
      <c r="E117">
        <f t="shared" si="14"/>
        <v>2615.0685836734228</v>
      </c>
      <c r="F117">
        <f t="shared" si="15"/>
        <v>13.735600000000204</v>
      </c>
      <c r="G117" t="s">
        <v>122</v>
      </c>
      <c r="H117">
        <v>168.63373333333334</v>
      </c>
      <c r="I117">
        <f t="shared" si="12"/>
        <v>-154.89813333333313</v>
      </c>
      <c r="J117">
        <f t="shared" si="20"/>
        <v>-0.52138431313282929</v>
      </c>
      <c r="K117">
        <f t="shared" si="16"/>
        <v>0.59999999999990905</v>
      </c>
      <c r="L117">
        <f t="shared" si="18"/>
        <v>1305.7850000000001</v>
      </c>
      <c r="M117">
        <f>AVERAGE(B117:B167)</f>
        <v>1266.1803921568626</v>
      </c>
      <c r="N117">
        <f t="shared" si="21"/>
        <v>-4.4549999999999272</v>
      </c>
      <c r="O117">
        <v>-139.53146666666666</v>
      </c>
      <c r="P117">
        <f t="shared" si="19"/>
        <v>-52.138431313282929</v>
      </c>
      <c r="R117" s="12" t="s">
        <v>525</v>
      </c>
      <c r="S117" t="s">
        <v>553</v>
      </c>
      <c r="W117" t="s">
        <v>534</v>
      </c>
      <c r="X117" t="s">
        <v>535</v>
      </c>
      <c r="Y117" t="s">
        <v>536</v>
      </c>
    </row>
    <row r="118" spans="1:25">
      <c r="A118" s="1">
        <v>117</v>
      </c>
      <c r="B118">
        <v>1324</v>
      </c>
      <c r="C118">
        <f t="shared" si="17"/>
        <v>1312.9152999999999</v>
      </c>
      <c r="D118">
        <f t="shared" si="13"/>
        <v>0.228515625</v>
      </c>
      <c r="E118">
        <f t="shared" si="14"/>
        <v>2237.4186619352099</v>
      </c>
      <c r="F118">
        <f t="shared" si="15"/>
        <v>11.084700000000112</v>
      </c>
      <c r="G118" t="s">
        <v>123</v>
      </c>
      <c r="H118">
        <v>175.06061111111109</v>
      </c>
      <c r="I118">
        <f t="shared" si="12"/>
        <v>-163.97591111111097</v>
      </c>
      <c r="J118">
        <f t="shared" si="20"/>
        <v>4.5317220543799781E-2</v>
      </c>
      <c r="K118">
        <f t="shared" si="16"/>
        <v>-11.700000000000045</v>
      </c>
      <c r="L118">
        <f t="shared" si="18"/>
        <v>1301.17</v>
      </c>
      <c r="M118">
        <f>AVERAGE(B118:B167)</f>
        <v>1265.0359999999998</v>
      </c>
      <c r="N118">
        <f t="shared" si="21"/>
        <v>-4.6150000000000091</v>
      </c>
      <c r="O118">
        <v>-154.89813333333313</v>
      </c>
      <c r="P118">
        <f t="shared" si="19"/>
        <v>4.5317220543799781</v>
      </c>
      <c r="S118" t="s">
        <v>526</v>
      </c>
      <c r="T118">
        <f>MAX(J3:J513)</f>
        <v>10.035668943836527</v>
      </c>
      <c r="W118" t="s">
        <v>528</v>
      </c>
      <c r="X118">
        <f>COUNTIF(J3:J513,"&lt;-10")</f>
        <v>1</v>
      </c>
      <c r="Y118">
        <v>-12.5</v>
      </c>
    </row>
    <row r="119" spans="1:25">
      <c r="A119" s="1">
        <v>118</v>
      </c>
      <c r="B119">
        <v>1312.3</v>
      </c>
      <c r="C119">
        <f t="shared" si="17"/>
        <v>1316.1661999999999</v>
      </c>
      <c r="D119">
        <f t="shared" si="13"/>
        <v>0.23046875</v>
      </c>
      <c r="E119">
        <f t="shared" si="14"/>
        <v>1610.6641071473384</v>
      </c>
      <c r="F119">
        <f t="shared" si="15"/>
        <v>-3.8661999999999352</v>
      </c>
      <c r="G119" t="s">
        <v>124</v>
      </c>
      <c r="H119">
        <v>175.60114444444446</v>
      </c>
      <c r="I119">
        <f t="shared" si="12"/>
        <v>-179.46734444444439</v>
      </c>
      <c r="J119">
        <f t="shared" si="20"/>
        <v>-0.89156442886535436</v>
      </c>
      <c r="K119">
        <f t="shared" si="16"/>
        <v>37.600000000000136</v>
      </c>
      <c r="L119">
        <f t="shared" si="18"/>
        <v>1296.1200000000001</v>
      </c>
      <c r="M119">
        <f>AVERAGE(B119:B169)</f>
        <v>1265.8784313725489</v>
      </c>
      <c r="N119">
        <f t="shared" si="21"/>
        <v>-5.0499999999999545</v>
      </c>
      <c r="O119">
        <v>-163.97591111111097</v>
      </c>
      <c r="P119">
        <f t="shared" si="19"/>
        <v>-89.15644288653543</v>
      </c>
      <c r="S119" t="s">
        <v>527</v>
      </c>
      <c r="T119">
        <f>MIN(J3:J513)</f>
        <v>-10.30602171767028</v>
      </c>
      <c r="W119" t="s">
        <v>529</v>
      </c>
      <c r="X119">
        <f>COUNTIFS(J3:J513,"&gt;-10",J3:J513,"&lt;-5")</f>
        <v>5</v>
      </c>
      <c r="Y119">
        <v>-7.5</v>
      </c>
    </row>
    <row r="120" spans="1:25">
      <c r="A120" s="1">
        <v>119</v>
      </c>
      <c r="B120">
        <v>1349.9</v>
      </c>
      <c r="C120">
        <f t="shared" si="17"/>
        <v>1319.4170999999999</v>
      </c>
      <c r="D120">
        <f t="shared" si="13"/>
        <v>0.232421875</v>
      </c>
      <c r="E120">
        <f t="shared" si="14"/>
        <v>1271.0501167556899</v>
      </c>
      <c r="F120">
        <f t="shared" si="15"/>
        <v>30.4829000000002</v>
      </c>
      <c r="G120" t="s">
        <v>125</v>
      </c>
      <c r="H120">
        <v>183.85024444444448</v>
      </c>
      <c r="I120">
        <f t="shared" si="12"/>
        <v>-153.36734444444429</v>
      </c>
      <c r="J120">
        <f t="shared" si="20"/>
        <v>2.7853915104822677</v>
      </c>
      <c r="K120">
        <f t="shared" si="16"/>
        <v>-22.600000000000136</v>
      </c>
      <c r="L120">
        <f t="shared" si="18"/>
        <v>1291.6650000000002</v>
      </c>
      <c r="M120">
        <f>AVERAGE(B120:B169)</f>
        <v>1264.95</v>
      </c>
      <c r="N120">
        <f t="shared" si="21"/>
        <v>-4.4549999999999272</v>
      </c>
      <c r="O120">
        <v>-179.46734444444439</v>
      </c>
      <c r="P120">
        <f t="shared" si="19"/>
        <v>278.53915104822676</v>
      </c>
      <c r="W120" t="s">
        <v>530</v>
      </c>
      <c r="X120">
        <f>COUNTIFS(J3:J513,"&gt;-5",J3:J513,"&lt;0")</f>
        <v>216</v>
      </c>
      <c r="Y120">
        <v>-2.5</v>
      </c>
    </row>
    <row r="121" spans="1:25">
      <c r="A121" s="1">
        <v>120</v>
      </c>
      <c r="B121">
        <v>1327.3</v>
      </c>
      <c r="C121">
        <f t="shared" si="17"/>
        <v>1322.6679999999999</v>
      </c>
      <c r="D121">
        <f t="shared" si="13"/>
        <v>0.234375</v>
      </c>
      <c r="E121">
        <f t="shared" si="14"/>
        <v>1762.3870358873673</v>
      </c>
      <c r="F121">
        <f t="shared" si="15"/>
        <v>4.6320000000000618</v>
      </c>
      <c r="G121" t="s">
        <v>126</v>
      </c>
      <c r="H121">
        <v>187.5549</v>
      </c>
      <c r="I121">
        <f t="shared" si="12"/>
        <v>-182.92289999999994</v>
      </c>
      <c r="J121">
        <f t="shared" si="20"/>
        <v>-1.7027047389437304</v>
      </c>
      <c r="K121">
        <f t="shared" si="16"/>
        <v>8.7999999999999545</v>
      </c>
      <c r="L121">
        <f t="shared" si="18"/>
        <v>1285.1199999999999</v>
      </c>
      <c r="M121">
        <f>AVERAGE(B121:B171)</f>
        <v>1264.7019607843135</v>
      </c>
      <c r="N121">
        <f t="shared" si="21"/>
        <v>-6.5450000000003001</v>
      </c>
      <c r="O121">
        <v>-153.36734444444429</v>
      </c>
      <c r="P121">
        <f t="shared" si="19"/>
        <v>-170.27047389437305</v>
      </c>
      <c r="W121" t="s">
        <v>531</v>
      </c>
      <c r="X121">
        <f>COUNTIFS(J3:J513,"&gt;0",J3:J513,"&lt;5")</f>
        <v>280</v>
      </c>
      <c r="Y121">
        <v>2.5</v>
      </c>
    </row>
    <row r="122" spans="1:25">
      <c r="A122" s="1">
        <v>121</v>
      </c>
      <c r="B122">
        <v>1336.1</v>
      </c>
      <c r="C122">
        <f t="shared" si="17"/>
        <v>1325.9188999999999</v>
      </c>
      <c r="D122">
        <f t="shared" si="13"/>
        <v>0.236328125</v>
      </c>
      <c r="E122">
        <f t="shared" si="14"/>
        <v>1718.8437096628866</v>
      </c>
      <c r="F122">
        <f t="shared" si="15"/>
        <v>10.181100000000015</v>
      </c>
      <c r="G122" t="s">
        <v>127</v>
      </c>
      <c r="H122">
        <v>181.60400000000004</v>
      </c>
      <c r="I122">
        <f t="shared" si="12"/>
        <v>-171.42290000000003</v>
      </c>
      <c r="J122">
        <f t="shared" si="20"/>
        <v>0.6586333358281532</v>
      </c>
      <c r="K122">
        <f t="shared" si="16"/>
        <v>11.800000000000182</v>
      </c>
      <c r="L122">
        <f t="shared" si="18"/>
        <v>1277.9650000000001</v>
      </c>
      <c r="M122">
        <f>AVERAGE(B122:B171)</f>
        <v>1263.45</v>
      </c>
      <c r="N122">
        <f t="shared" si="21"/>
        <v>-7.1549999999997453</v>
      </c>
      <c r="O122">
        <v>-182.92289999999994</v>
      </c>
      <c r="P122">
        <f t="shared" si="19"/>
        <v>65.863333582815315</v>
      </c>
      <c r="W122" t="s">
        <v>532</v>
      </c>
      <c r="X122">
        <f>COUNTIFS(J3:J513,"&gt;5",J3:J513,"&lt;10")</f>
        <v>8</v>
      </c>
      <c r="Y122">
        <v>7.5</v>
      </c>
    </row>
    <row r="123" spans="1:25">
      <c r="A123" s="1">
        <v>122</v>
      </c>
      <c r="B123">
        <v>1347.9</v>
      </c>
      <c r="C123">
        <f t="shared" si="17"/>
        <v>1329.1697999999999</v>
      </c>
      <c r="D123">
        <f t="shared" si="13"/>
        <v>0.23828125</v>
      </c>
      <c r="E123">
        <f t="shared" si="14"/>
        <v>1923.1455857964922</v>
      </c>
      <c r="F123">
        <f t="shared" si="15"/>
        <v>18.730200000000195</v>
      </c>
      <c r="G123" t="s">
        <v>128</v>
      </c>
      <c r="H123">
        <v>174.28643333333338</v>
      </c>
      <c r="I123">
        <f t="shared" si="12"/>
        <v>-155.55623333333318</v>
      </c>
      <c r="J123">
        <f t="shared" si="20"/>
        <v>0.87543586319461242</v>
      </c>
      <c r="K123">
        <f t="shared" si="16"/>
        <v>-9.6000000000001364</v>
      </c>
      <c r="L123">
        <f t="shared" si="18"/>
        <v>1271.825</v>
      </c>
      <c r="M123">
        <f>AVERAGE(B123:B173)</f>
        <v>1263.7882352941178</v>
      </c>
      <c r="N123">
        <f t="shared" si="21"/>
        <v>-6.1400000000001</v>
      </c>
      <c r="O123">
        <v>-171.42290000000003</v>
      </c>
      <c r="P123">
        <f t="shared" si="19"/>
        <v>87.543586319461241</v>
      </c>
      <c r="W123" t="s">
        <v>533</v>
      </c>
      <c r="X123">
        <f>COUNTIF(J3:J513,"&gt;10")</f>
        <v>1</v>
      </c>
      <c r="Y123">
        <v>12.5</v>
      </c>
    </row>
    <row r="124" spans="1:25">
      <c r="A124" s="1">
        <v>123</v>
      </c>
      <c r="B124">
        <v>1338.3</v>
      </c>
      <c r="C124">
        <f t="shared" si="17"/>
        <v>1332.4206999999999</v>
      </c>
      <c r="D124">
        <f t="shared" si="13"/>
        <v>0.240234375</v>
      </c>
      <c r="E124">
        <f t="shared" si="14"/>
        <v>1796.1629388096255</v>
      </c>
      <c r="F124">
        <f t="shared" si="15"/>
        <v>5.8793000000000575</v>
      </c>
      <c r="G124" t="s">
        <v>129</v>
      </c>
      <c r="H124">
        <v>168.29108888888885</v>
      </c>
      <c r="I124">
        <f t="shared" si="12"/>
        <v>-162.41178888888879</v>
      </c>
      <c r="J124">
        <f t="shared" si="20"/>
        <v>-0.71732795337369326</v>
      </c>
      <c r="K124">
        <f t="shared" si="16"/>
        <v>-14.899999999999864</v>
      </c>
      <c r="L124">
        <f t="shared" si="18"/>
        <v>1264.7649999999999</v>
      </c>
      <c r="M124">
        <f>AVERAGE(B124:B173)</f>
        <v>1262.106</v>
      </c>
      <c r="N124">
        <f t="shared" si="21"/>
        <v>-7.0600000000001728</v>
      </c>
      <c r="O124">
        <v>-155.55623333333318</v>
      </c>
      <c r="P124">
        <f t="shared" si="19"/>
        <v>-71.732795337369325</v>
      </c>
      <c r="S124" t="s">
        <v>560</v>
      </c>
      <c r="W124" t="s">
        <v>537</v>
      </c>
      <c r="X124">
        <f>SUM(X118:X123)</f>
        <v>511</v>
      </c>
    </row>
    <row r="125" spans="1:25">
      <c r="A125" s="1">
        <v>124</v>
      </c>
      <c r="B125">
        <v>1323.4</v>
      </c>
      <c r="C125">
        <f t="shared" si="17"/>
        <v>1335.6715999999999</v>
      </c>
      <c r="D125">
        <f t="shared" si="13"/>
        <v>0.2421875</v>
      </c>
      <c r="E125">
        <f t="shared" si="14"/>
        <v>1526.1939442359842</v>
      </c>
      <c r="F125">
        <f t="shared" si="15"/>
        <v>-12.271599999999808</v>
      </c>
      <c r="G125" t="s">
        <v>130</v>
      </c>
      <c r="H125">
        <v>163.41796666666673</v>
      </c>
      <c r="I125">
        <f t="shared" si="12"/>
        <v>-175.68956666666654</v>
      </c>
      <c r="J125">
        <f t="shared" si="20"/>
        <v>-1.1258878645911941</v>
      </c>
      <c r="K125">
        <f t="shared" si="16"/>
        <v>-8.7000000000000455</v>
      </c>
      <c r="L125">
        <f t="shared" si="18"/>
        <v>1257.8700000000003</v>
      </c>
      <c r="M125">
        <f>AVERAGE(B125:B175)</f>
        <v>1262.1549019607844</v>
      </c>
      <c r="N125">
        <f t="shared" si="21"/>
        <v>-6.8949999999995271</v>
      </c>
      <c r="O125">
        <v>-162.41178888888879</v>
      </c>
      <c r="P125">
        <f t="shared" si="19"/>
        <v>-112.5887864591194</v>
      </c>
      <c r="S125" t="s">
        <v>561</v>
      </c>
    </row>
    <row r="126" spans="1:25">
      <c r="A126" s="1">
        <v>125</v>
      </c>
      <c r="B126">
        <v>1314.7</v>
      </c>
      <c r="C126">
        <f t="shared" si="17"/>
        <v>1338.9224999999999</v>
      </c>
      <c r="D126">
        <f t="shared" si="13"/>
        <v>0.244140625</v>
      </c>
      <c r="E126">
        <f t="shared" si="14"/>
        <v>644.17764188907859</v>
      </c>
      <c r="F126">
        <f t="shared" si="15"/>
        <v>-24.222499999999854</v>
      </c>
      <c r="G126" t="s">
        <v>131</v>
      </c>
      <c r="H126">
        <v>168.63373333333334</v>
      </c>
      <c r="I126">
        <f t="shared" si="12"/>
        <v>-192.85623333333319</v>
      </c>
      <c r="J126">
        <f t="shared" si="20"/>
        <v>-0.66174792728379439</v>
      </c>
      <c r="K126">
        <f t="shared" si="16"/>
        <v>6</v>
      </c>
      <c r="L126">
        <f t="shared" si="18"/>
        <v>1251.7550000000001</v>
      </c>
      <c r="M126">
        <f>AVERAGE(B126:B175)</f>
        <v>1260.9299999999998</v>
      </c>
      <c r="N126">
        <f t="shared" si="21"/>
        <v>-6.1150000000002365</v>
      </c>
      <c r="O126">
        <v>-175.68956666666654</v>
      </c>
      <c r="P126">
        <f t="shared" si="19"/>
        <v>-66.174792728379444</v>
      </c>
    </row>
    <row r="127" spans="1:25">
      <c r="A127" s="1">
        <v>126</v>
      </c>
      <c r="B127">
        <v>1320.7</v>
      </c>
      <c r="C127">
        <f t="shared" si="17"/>
        <v>1342.1733999999999</v>
      </c>
      <c r="D127">
        <f t="shared" si="13"/>
        <v>0.24609375</v>
      </c>
      <c r="E127">
        <f t="shared" si="14"/>
        <v>1380.8880496260563</v>
      </c>
      <c r="F127">
        <f t="shared" si="15"/>
        <v>-21.473399999999856</v>
      </c>
      <c r="G127" t="s">
        <v>132</v>
      </c>
      <c r="H127">
        <v>175.06061111111109</v>
      </c>
      <c r="I127">
        <f t="shared" si="12"/>
        <v>-196.53401111111094</v>
      </c>
      <c r="J127">
        <f t="shared" si="20"/>
        <v>0.45430453547361249</v>
      </c>
      <c r="K127">
        <f t="shared" si="16"/>
        <v>-29.400000000000091</v>
      </c>
      <c r="L127">
        <f t="shared" si="18"/>
        <v>1246.085</v>
      </c>
      <c r="M127">
        <f>AVERAGE(B127:B177)</f>
        <v>1260.9529411764706</v>
      </c>
      <c r="N127">
        <f t="shared" si="21"/>
        <v>-5.6700000000000728</v>
      </c>
      <c r="O127">
        <v>-192.85623333333319</v>
      </c>
      <c r="P127">
        <f t="shared" si="19"/>
        <v>45.430453547361246</v>
      </c>
    </row>
    <row r="128" spans="1:25">
      <c r="A128" s="1">
        <v>127</v>
      </c>
      <c r="B128">
        <v>1291.3</v>
      </c>
      <c r="C128">
        <f t="shared" si="17"/>
        <v>1345.4242999999999</v>
      </c>
      <c r="D128">
        <f t="shared" si="13"/>
        <v>0.248046875</v>
      </c>
      <c r="E128">
        <f t="shared" si="14"/>
        <v>1637.483883236089</v>
      </c>
      <c r="F128">
        <f t="shared" si="15"/>
        <v>-54.124299999999948</v>
      </c>
      <c r="G128" t="s">
        <v>133</v>
      </c>
      <c r="H128">
        <v>175.60114444444446</v>
      </c>
      <c r="I128">
        <f t="shared" si="12"/>
        <v>-229.72544444444441</v>
      </c>
      <c r="J128">
        <f t="shared" si="20"/>
        <v>-2.2767753426779289</v>
      </c>
      <c r="K128">
        <f t="shared" si="16"/>
        <v>12.400000000000091</v>
      </c>
      <c r="L128">
        <f t="shared" si="18"/>
        <v>1239.8600000000001</v>
      </c>
      <c r="M128">
        <f>AVERAGE(B128:B177)</f>
        <v>1259.7579999999998</v>
      </c>
      <c r="N128">
        <f t="shared" si="21"/>
        <v>-6.2249999999999091</v>
      </c>
      <c r="O128">
        <v>-196.53401111111094</v>
      </c>
      <c r="P128">
        <f t="shared" si="19"/>
        <v>-227.67753426779288</v>
      </c>
    </row>
    <row r="129" spans="1:114">
      <c r="A129" s="1">
        <v>128</v>
      </c>
      <c r="B129">
        <v>1303.7</v>
      </c>
      <c r="C129">
        <f t="shared" si="17"/>
        <v>1348.6751999999999</v>
      </c>
      <c r="D129">
        <f t="shared" si="13"/>
        <v>0.25</v>
      </c>
      <c r="E129">
        <f t="shared" si="14"/>
        <v>1292.7330780342415</v>
      </c>
      <c r="F129">
        <f t="shared" si="15"/>
        <v>-44.975199999999859</v>
      </c>
      <c r="G129" t="s">
        <v>134</v>
      </c>
      <c r="H129">
        <v>183.85024444444448</v>
      </c>
      <c r="I129">
        <f t="shared" si="12"/>
        <v>-228.82544444444434</v>
      </c>
      <c r="J129">
        <f t="shared" si="20"/>
        <v>0.95113906573598916</v>
      </c>
      <c r="K129">
        <f t="shared" si="16"/>
        <v>-4.4000000000000909</v>
      </c>
      <c r="L129">
        <f t="shared" si="18"/>
        <v>1235.575</v>
      </c>
      <c r="M129">
        <f>AVERAGE(B129:B179)</f>
        <v>1260.335294117647</v>
      </c>
      <c r="N129">
        <f t="shared" si="21"/>
        <v>-4.2850000000000819</v>
      </c>
      <c r="O129">
        <v>-229.72544444444441</v>
      </c>
      <c r="P129">
        <f t="shared" si="19"/>
        <v>95.113906573598911</v>
      </c>
    </row>
    <row r="130" spans="1:114">
      <c r="A130" s="1">
        <v>129</v>
      </c>
      <c r="B130">
        <v>1299.3</v>
      </c>
      <c r="C130">
        <f t="shared" si="17"/>
        <v>1351.9260999999999</v>
      </c>
      <c r="D130">
        <f t="shared" si="13"/>
        <v>0.251953125</v>
      </c>
      <c r="E130">
        <f t="shared" si="14"/>
        <v>1524.1781424754802</v>
      </c>
      <c r="F130">
        <f t="shared" si="15"/>
        <v>-52.626099999999951</v>
      </c>
      <c r="G130" t="s">
        <v>135</v>
      </c>
      <c r="H130">
        <v>187.5549</v>
      </c>
      <c r="I130">
        <f t="shared" ref="I130:I193" si="22">B130-C130-H130</f>
        <v>-240.18099999999995</v>
      </c>
      <c r="J130">
        <f t="shared" si="20"/>
        <v>-0.33864388516894417</v>
      </c>
      <c r="K130">
        <f t="shared" si="16"/>
        <v>3.4000000000000909</v>
      </c>
      <c r="L130">
        <f t="shared" si="18"/>
        <v>1231.49</v>
      </c>
      <c r="M130">
        <f>AVERAGE(B130:B179)</f>
        <v>1259.4679999999998</v>
      </c>
      <c r="N130">
        <f t="shared" si="21"/>
        <v>-4.0850000000000364</v>
      </c>
      <c r="O130">
        <v>-228.82544444444434</v>
      </c>
      <c r="P130">
        <f t="shared" si="19"/>
        <v>-33.864388516894415</v>
      </c>
    </row>
    <row r="131" spans="1:114">
      <c r="A131" s="1">
        <v>130</v>
      </c>
      <c r="B131">
        <v>1302.7</v>
      </c>
      <c r="C131">
        <f t="shared" si="17"/>
        <v>1355.1769999999999</v>
      </c>
      <c r="D131">
        <f t="shared" ref="D131:D194" si="23">A131/512</f>
        <v>0.25390625</v>
      </c>
      <c r="E131">
        <f t="shared" ref="E131:E194" si="24">IMABS(G131)</f>
        <v>1431.8664299408699</v>
      </c>
      <c r="F131">
        <f t="shared" ref="F131:F194" si="25">B131-C131</f>
        <v>-52.476999999999862</v>
      </c>
      <c r="G131" t="s">
        <v>136</v>
      </c>
      <c r="H131">
        <v>181.60400000000004</v>
      </c>
      <c r="I131">
        <f t="shared" si="22"/>
        <v>-234.0809999999999</v>
      </c>
      <c r="J131">
        <f t="shared" si="20"/>
        <v>0.26099639210870429</v>
      </c>
      <c r="K131">
        <f t="shared" ref="K131:K194" si="26">B132-B131</f>
        <v>-24.200000000000045</v>
      </c>
      <c r="L131">
        <f t="shared" si="18"/>
        <v>1227.96</v>
      </c>
      <c r="M131">
        <f>AVERAGE(B131:B181)</f>
        <v>1259.7</v>
      </c>
      <c r="N131">
        <f t="shared" si="21"/>
        <v>-3.5299999999999727</v>
      </c>
      <c r="O131">
        <v>-240.18099999999995</v>
      </c>
      <c r="P131">
        <f t="shared" si="19"/>
        <v>26.099639210870428</v>
      </c>
    </row>
    <row r="132" spans="1:114">
      <c r="A132" s="1">
        <v>131</v>
      </c>
      <c r="B132">
        <v>1278.5</v>
      </c>
      <c r="C132">
        <f t="shared" ref="C132:C195" si="27">3.2509*A132+932.56</f>
        <v>1358.4278999999999</v>
      </c>
      <c r="D132">
        <f t="shared" si="23"/>
        <v>0.255859375</v>
      </c>
      <c r="E132">
        <f t="shared" si="24"/>
        <v>2421.8864239105169</v>
      </c>
      <c r="F132">
        <f t="shared" si="25"/>
        <v>-79.927899999999909</v>
      </c>
      <c r="G132" t="s">
        <v>137</v>
      </c>
      <c r="H132">
        <v>174.28643333333338</v>
      </c>
      <c r="I132">
        <f t="shared" si="22"/>
        <v>-254.21433333333329</v>
      </c>
      <c r="J132">
        <f t="shared" si="20"/>
        <v>-1.8928431755964055</v>
      </c>
      <c r="K132">
        <f t="shared" si="26"/>
        <v>-7.7999999999999545</v>
      </c>
      <c r="L132">
        <f t="shared" ref="L132:L195" si="28">AVERAGE(B132:B151)</f>
        <v>1224.615</v>
      </c>
      <c r="M132">
        <f>AVERAGE(B132:B181)</f>
        <v>1258.8399999999999</v>
      </c>
      <c r="N132">
        <f t="shared" si="21"/>
        <v>-3.3450000000000273</v>
      </c>
      <c r="O132">
        <v>-234.0809999999999</v>
      </c>
      <c r="P132">
        <f t="shared" ref="P132:P195" si="29">J132*100</f>
        <v>-189.28431755964056</v>
      </c>
      <c r="DF132" s="25"/>
      <c r="DG132" s="25"/>
      <c r="DH132" s="25"/>
      <c r="DI132" s="25"/>
      <c r="DJ132" s="25"/>
    </row>
    <row r="133" spans="1:114">
      <c r="A133" s="1">
        <v>132</v>
      </c>
      <c r="B133">
        <v>1270.7</v>
      </c>
      <c r="C133">
        <f t="shared" si="27"/>
        <v>1361.6787999999999</v>
      </c>
      <c r="D133">
        <f t="shared" si="23"/>
        <v>0.2578125</v>
      </c>
      <c r="E133">
        <f t="shared" si="24"/>
        <v>1496.9053371653094</v>
      </c>
      <c r="F133">
        <f t="shared" si="25"/>
        <v>-90.978799999999865</v>
      </c>
      <c r="G133" t="s">
        <v>138</v>
      </c>
      <c r="H133">
        <v>168.29108888888885</v>
      </c>
      <c r="I133">
        <f t="shared" si="22"/>
        <v>-259.26988888888872</v>
      </c>
      <c r="J133">
        <f t="shared" ref="J133:J196" si="30">((B133-B132)/B133)*100</f>
        <v>-0.61383489415282555</v>
      </c>
      <c r="K133">
        <f t="shared" si="26"/>
        <v>-16.200000000000045</v>
      </c>
      <c r="L133">
        <f t="shared" si="28"/>
        <v>1222.355</v>
      </c>
      <c r="M133">
        <f>AVERAGE(B133:B183)</f>
        <v>1261.4156862745099</v>
      </c>
      <c r="N133">
        <f t="shared" ref="N133:N196" si="31">L133-L132</f>
        <v>-2.2599999999999909</v>
      </c>
      <c r="O133">
        <v>-254.21433333333329</v>
      </c>
      <c r="P133">
        <f t="shared" si="29"/>
        <v>-61.383489415282554</v>
      </c>
    </row>
    <row r="134" spans="1:114">
      <c r="A134" s="1">
        <v>133</v>
      </c>
      <c r="B134">
        <v>1254.5</v>
      </c>
      <c r="C134">
        <f t="shared" si="27"/>
        <v>1364.9296999999999</v>
      </c>
      <c r="D134">
        <f t="shared" si="23"/>
        <v>0.259765625</v>
      </c>
      <c r="E134">
        <f t="shared" si="24"/>
        <v>1460.1795964704547</v>
      </c>
      <c r="F134">
        <f t="shared" si="25"/>
        <v>-110.42969999999991</v>
      </c>
      <c r="G134" t="s">
        <v>139</v>
      </c>
      <c r="H134">
        <v>163.41796666666673</v>
      </c>
      <c r="I134">
        <f t="shared" si="22"/>
        <v>-273.84766666666667</v>
      </c>
      <c r="J134">
        <f t="shared" si="30"/>
        <v>-1.291351135910725</v>
      </c>
      <c r="K134">
        <f t="shared" si="26"/>
        <v>1.2999999999999545</v>
      </c>
      <c r="L134">
        <f t="shared" si="28"/>
        <v>1219.2499999999998</v>
      </c>
      <c r="M134">
        <f>AVERAGE(B134:B183)</f>
        <v>1261.23</v>
      </c>
      <c r="N134">
        <f t="shared" si="31"/>
        <v>-3.1050000000002456</v>
      </c>
      <c r="O134">
        <v>-259.26988888888872</v>
      </c>
      <c r="P134">
        <f t="shared" si="29"/>
        <v>-129.1351135910725</v>
      </c>
    </row>
    <row r="135" spans="1:114">
      <c r="A135" s="1">
        <v>134</v>
      </c>
      <c r="B135">
        <v>1255.8</v>
      </c>
      <c r="C135">
        <f t="shared" si="27"/>
        <v>1368.1805999999999</v>
      </c>
      <c r="D135">
        <f t="shared" si="23"/>
        <v>0.26171875</v>
      </c>
      <c r="E135">
        <f t="shared" si="24"/>
        <v>1906.4927251399797</v>
      </c>
      <c r="F135">
        <f t="shared" si="25"/>
        <v>-112.38059999999996</v>
      </c>
      <c r="G135" t="s">
        <v>140</v>
      </c>
      <c r="H135">
        <v>168.63373333333334</v>
      </c>
      <c r="I135">
        <f t="shared" si="22"/>
        <v>-281.0143333333333</v>
      </c>
      <c r="J135">
        <f t="shared" si="30"/>
        <v>0.10351966873705643</v>
      </c>
      <c r="K135">
        <f t="shared" si="26"/>
        <v>-14.599999999999909</v>
      </c>
      <c r="L135">
        <f t="shared" si="28"/>
        <v>1217.6749999999997</v>
      </c>
      <c r="M135">
        <f>AVERAGE(B135:B185)</f>
        <v>1265.9470588235295</v>
      </c>
      <c r="N135">
        <f t="shared" si="31"/>
        <v>-1.5750000000000455</v>
      </c>
      <c r="O135">
        <v>-273.84766666666667</v>
      </c>
      <c r="P135">
        <f t="shared" si="29"/>
        <v>10.351966873705642</v>
      </c>
    </row>
    <row r="136" spans="1:114">
      <c r="A136" s="1">
        <v>135</v>
      </c>
      <c r="B136">
        <v>1241.2</v>
      </c>
      <c r="C136">
        <f t="shared" si="27"/>
        <v>1371.4314999999999</v>
      </c>
      <c r="D136">
        <f t="shared" si="23"/>
        <v>0.263671875</v>
      </c>
      <c r="E136">
        <f t="shared" si="24"/>
        <v>1665.1162819883839</v>
      </c>
      <c r="F136">
        <f t="shared" si="25"/>
        <v>-130.23149999999987</v>
      </c>
      <c r="G136" t="s">
        <v>141</v>
      </c>
      <c r="H136">
        <v>175.06061111111109</v>
      </c>
      <c r="I136">
        <f t="shared" si="22"/>
        <v>-305.29211111111096</v>
      </c>
      <c r="J136">
        <f t="shared" si="30"/>
        <v>-1.1762810183693126</v>
      </c>
      <c r="K136">
        <f t="shared" si="26"/>
        <v>-10.100000000000136</v>
      </c>
      <c r="L136">
        <f t="shared" si="28"/>
        <v>1216.0450000000001</v>
      </c>
      <c r="M136">
        <f>AVERAGE(B136:B185)</f>
        <v>1266.1500000000001</v>
      </c>
      <c r="N136">
        <f t="shared" si="31"/>
        <v>-1.6299999999996544</v>
      </c>
      <c r="O136">
        <v>-281.0143333333333</v>
      </c>
      <c r="P136">
        <f t="shared" si="29"/>
        <v>-117.62810183693126</v>
      </c>
    </row>
    <row r="137" spans="1:114">
      <c r="A137" s="1">
        <v>136</v>
      </c>
      <c r="B137">
        <v>1231.0999999999999</v>
      </c>
      <c r="C137">
        <f t="shared" si="27"/>
        <v>1374.6823999999999</v>
      </c>
      <c r="D137">
        <f t="shared" si="23"/>
        <v>0.265625</v>
      </c>
      <c r="E137">
        <f t="shared" si="24"/>
        <v>1738.1426947719767</v>
      </c>
      <c r="F137">
        <f t="shared" si="25"/>
        <v>-143.58240000000001</v>
      </c>
      <c r="G137" t="s">
        <v>142</v>
      </c>
      <c r="H137">
        <v>175.60114444444446</v>
      </c>
      <c r="I137">
        <f t="shared" si="22"/>
        <v>-319.18354444444446</v>
      </c>
      <c r="J137">
        <f t="shared" si="30"/>
        <v>-0.82040451628625921</v>
      </c>
      <c r="K137">
        <f t="shared" si="26"/>
        <v>-8.0999999999999091</v>
      </c>
      <c r="L137">
        <f t="shared" si="28"/>
        <v>1215.2849999999999</v>
      </c>
      <c r="M137">
        <f>AVERAGE(B137:B187)</f>
        <v>1272.3960784313726</v>
      </c>
      <c r="N137">
        <f t="shared" si="31"/>
        <v>-0.76000000000021828</v>
      </c>
      <c r="O137">
        <v>-305.29211111111096</v>
      </c>
      <c r="P137">
        <f t="shared" si="29"/>
        <v>-82.040451628625917</v>
      </c>
    </row>
    <row r="138" spans="1:114">
      <c r="A138" s="1">
        <v>137</v>
      </c>
      <c r="B138">
        <v>1223</v>
      </c>
      <c r="C138">
        <f t="shared" si="27"/>
        <v>1377.9332999999999</v>
      </c>
      <c r="D138">
        <f t="shared" si="23"/>
        <v>0.267578125</v>
      </c>
      <c r="E138">
        <f t="shared" si="24"/>
        <v>1143.0070238251812</v>
      </c>
      <c r="F138">
        <f t="shared" si="25"/>
        <v>-154.93329999999992</v>
      </c>
      <c r="G138" t="s">
        <v>143</v>
      </c>
      <c r="H138">
        <v>183.85024444444448</v>
      </c>
      <c r="I138">
        <f t="shared" si="22"/>
        <v>-338.78354444444437</v>
      </c>
      <c r="J138">
        <f t="shared" si="30"/>
        <v>-0.66230580539655837</v>
      </c>
      <c r="K138">
        <f t="shared" si="26"/>
        <v>0.20000000000004547</v>
      </c>
      <c r="L138">
        <f t="shared" si="28"/>
        <v>1216.3599999999999</v>
      </c>
      <c r="M138">
        <f>AVERAGE(B138:B187)</f>
        <v>1273.2220000000002</v>
      </c>
      <c r="N138">
        <f t="shared" si="31"/>
        <v>1.0750000000000455</v>
      </c>
      <c r="O138">
        <v>-319.18354444444446</v>
      </c>
      <c r="P138">
        <f t="shared" si="29"/>
        <v>-66.230580539655833</v>
      </c>
    </row>
    <row r="139" spans="1:114">
      <c r="A139" s="1">
        <v>138</v>
      </c>
      <c r="B139">
        <v>1223.2</v>
      </c>
      <c r="C139">
        <f t="shared" si="27"/>
        <v>1381.1841999999999</v>
      </c>
      <c r="D139">
        <f t="shared" si="23"/>
        <v>0.26953125</v>
      </c>
      <c r="E139">
        <f t="shared" si="24"/>
        <v>1957.3602658376501</v>
      </c>
      <c r="F139">
        <f t="shared" si="25"/>
        <v>-157.98419999999987</v>
      </c>
      <c r="G139" t="s">
        <v>144</v>
      </c>
      <c r="H139">
        <v>187.5549</v>
      </c>
      <c r="I139">
        <f t="shared" si="22"/>
        <v>-345.53909999999985</v>
      </c>
      <c r="J139">
        <f t="shared" si="30"/>
        <v>1.6350555918904958E-2</v>
      </c>
      <c r="K139">
        <f t="shared" si="26"/>
        <v>-4.2000000000000455</v>
      </c>
      <c r="L139">
        <f t="shared" si="28"/>
        <v>1217.28</v>
      </c>
      <c r="M139">
        <f>AVERAGE(B139:B189)</f>
        <v>1280.1921568627452</v>
      </c>
      <c r="N139">
        <f t="shared" si="31"/>
        <v>0.92000000000007276</v>
      </c>
      <c r="O139">
        <v>-338.78354444444437</v>
      </c>
      <c r="P139">
        <f t="shared" si="29"/>
        <v>1.6350555918904959</v>
      </c>
    </row>
    <row r="140" spans="1:114">
      <c r="A140" s="1">
        <v>139</v>
      </c>
      <c r="B140">
        <v>1219</v>
      </c>
      <c r="C140">
        <f t="shared" si="27"/>
        <v>1384.4350999999999</v>
      </c>
      <c r="D140">
        <f t="shared" si="23"/>
        <v>0.271484375</v>
      </c>
      <c r="E140">
        <f t="shared" si="24"/>
        <v>1513.9192909164226</v>
      </c>
      <c r="F140">
        <f t="shared" si="25"/>
        <v>-165.43509999999992</v>
      </c>
      <c r="G140" t="s">
        <v>145</v>
      </c>
      <c r="H140">
        <v>181.60400000000004</v>
      </c>
      <c r="I140">
        <f t="shared" si="22"/>
        <v>-347.03909999999996</v>
      </c>
      <c r="J140">
        <f t="shared" si="30"/>
        <v>-0.34454470877769039</v>
      </c>
      <c r="K140">
        <f t="shared" si="26"/>
        <v>-34.799999999999955</v>
      </c>
      <c r="L140">
        <f t="shared" si="28"/>
        <v>1219.0250000000001</v>
      </c>
      <c r="M140">
        <f>AVERAGE(B140:B189)</f>
        <v>1281.3319999999999</v>
      </c>
      <c r="N140">
        <f t="shared" si="31"/>
        <v>1.7450000000001182</v>
      </c>
      <c r="O140">
        <v>-345.53909999999985</v>
      </c>
      <c r="P140">
        <f t="shared" si="29"/>
        <v>-34.45447087776904</v>
      </c>
      <c r="R140" s="16" t="s">
        <v>540</v>
      </c>
      <c r="S140" t="s">
        <v>554</v>
      </c>
    </row>
    <row r="141" spans="1:114">
      <c r="A141" s="1">
        <v>140</v>
      </c>
      <c r="B141">
        <v>1184.2</v>
      </c>
      <c r="C141">
        <f t="shared" si="27"/>
        <v>1387.6859999999999</v>
      </c>
      <c r="D141">
        <f t="shared" si="23"/>
        <v>0.2734375</v>
      </c>
      <c r="E141">
        <f t="shared" si="24"/>
        <v>2414.710501170201</v>
      </c>
      <c r="F141">
        <f t="shared" si="25"/>
        <v>-203.48599999999988</v>
      </c>
      <c r="G141" t="s">
        <v>146</v>
      </c>
      <c r="H141">
        <v>174.28643333333338</v>
      </c>
      <c r="I141">
        <f t="shared" si="22"/>
        <v>-377.77243333333325</v>
      </c>
      <c r="J141">
        <f t="shared" si="30"/>
        <v>-2.9386927883803371</v>
      </c>
      <c r="K141">
        <f t="shared" si="26"/>
        <v>29.099999999999909</v>
      </c>
      <c r="L141">
        <f t="shared" si="28"/>
        <v>1222.2249999999999</v>
      </c>
      <c r="M141">
        <f>AVERAGE(B141:B191)</f>
        <v>1288.8431372549019</v>
      </c>
      <c r="N141">
        <f t="shared" si="31"/>
        <v>3.1999999999998181</v>
      </c>
      <c r="O141">
        <v>-347.03909999999996</v>
      </c>
      <c r="P141">
        <f t="shared" si="29"/>
        <v>-293.86927883803372</v>
      </c>
    </row>
    <row r="142" spans="1:114">
      <c r="A142" s="1">
        <v>141</v>
      </c>
      <c r="B142">
        <v>1213.3</v>
      </c>
      <c r="C142">
        <f t="shared" si="27"/>
        <v>1390.9368999999999</v>
      </c>
      <c r="D142">
        <f t="shared" si="23"/>
        <v>0.275390625</v>
      </c>
      <c r="E142">
        <f t="shared" si="24"/>
        <v>1143.2583479563325</v>
      </c>
      <c r="F142">
        <f t="shared" si="25"/>
        <v>-177.63689999999997</v>
      </c>
      <c r="G142" t="s">
        <v>147</v>
      </c>
      <c r="H142">
        <v>168.29108888888885</v>
      </c>
      <c r="I142">
        <f t="shared" si="22"/>
        <v>-345.92798888888882</v>
      </c>
      <c r="J142">
        <f t="shared" si="30"/>
        <v>2.3984175389433702</v>
      </c>
      <c r="K142">
        <f t="shared" si="26"/>
        <v>-6.5999999999999091</v>
      </c>
      <c r="L142">
        <f t="shared" si="28"/>
        <v>1227.3049999999998</v>
      </c>
      <c r="M142">
        <f>AVERAGE(B142:B191)</f>
        <v>1290.9360000000001</v>
      </c>
      <c r="N142">
        <f t="shared" si="31"/>
        <v>5.0799999999999272</v>
      </c>
      <c r="O142">
        <v>-377.77243333333325</v>
      </c>
      <c r="P142">
        <f t="shared" si="29"/>
        <v>239.84175389433702</v>
      </c>
      <c r="S142" t="s">
        <v>607</v>
      </c>
      <c r="U142">
        <f>_xlfn.STDEV.P(J3:J513)</f>
        <v>2.0465560888273759</v>
      </c>
      <c r="V142" t="s">
        <v>558</v>
      </c>
    </row>
    <row r="143" spans="1:114">
      <c r="A143" s="1">
        <v>142</v>
      </c>
      <c r="B143">
        <v>1206.7</v>
      </c>
      <c r="C143">
        <f t="shared" si="27"/>
        <v>1394.1877999999999</v>
      </c>
      <c r="D143">
        <f t="shared" si="23"/>
        <v>0.27734375</v>
      </c>
      <c r="E143">
        <f t="shared" si="24"/>
        <v>1873.6096519979099</v>
      </c>
      <c r="F143">
        <f t="shared" si="25"/>
        <v>-187.48779999999988</v>
      </c>
      <c r="G143" t="s">
        <v>148</v>
      </c>
      <c r="H143">
        <v>163.41796666666673</v>
      </c>
      <c r="I143">
        <f t="shared" si="22"/>
        <v>-350.90576666666664</v>
      </c>
      <c r="J143">
        <f t="shared" si="30"/>
        <v>-0.54694621695532519</v>
      </c>
      <c r="K143">
        <f t="shared" si="26"/>
        <v>-6.2999999999999545</v>
      </c>
      <c r="L143">
        <f t="shared" si="28"/>
        <v>1231.115</v>
      </c>
      <c r="M143">
        <f>AVERAGE(B143:B193)</f>
        <v>1301.2862745098041</v>
      </c>
      <c r="N143">
        <f t="shared" si="31"/>
        <v>3.8100000000001728</v>
      </c>
      <c r="O143">
        <v>-345.92798888888882</v>
      </c>
      <c r="P143">
        <f t="shared" si="29"/>
        <v>-54.694621695532518</v>
      </c>
      <c r="S143" t="s">
        <v>555</v>
      </c>
      <c r="U143">
        <f>AVERAGE(J3:J513)</f>
        <v>0.21247146141505049</v>
      </c>
      <c r="V143" t="s">
        <v>559</v>
      </c>
      <c r="DF143" s="25"/>
      <c r="DG143" s="25"/>
      <c r="DH143" s="25"/>
      <c r="DI143" s="25"/>
      <c r="DJ143" s="25"/>
    </row>
    <row r="144" spans="1:114">
      <c r="A144" s="1">
        <v>143</v>
      </c>
      <c r="B144">
        <v>1200.4000000000001</v>
      </c>
      <c r="C144">
        <f t="shared" si="27"/>
        <v>1397.4386999999999</v>
      </c>
      <c r="D144">
        <f t="shared" si="23"/>
        <v>0.279296875</v>
      </c>
      <c r="E144">
        <f t="shared" si="24"/>
        <v>1117.9731355994381</v>
      </c>
      <c r="F144">
        <f t="shared" si="25"/>
        <v>-197.03869999999984</v>
      </c>
      <c r="G144" t="s">
        <v>149</v>
      </c>
      <c r="H144">
        <v>168.63373333333334</v>
      </c>
      <c r="I144">
        <f t="shared" si="22"/>
        <v>-365.67243333333317</v>
      </c>
      <c r="J144">
        <f t="shared" si="30"/>
        <v>-0.52482505831389148</v>
      </c>
      <c r="K144">
        <f t="shared" si="26"/>
        <v>0.6999999999998181</v>
      </c>
      <c r="L144">
        <f t="shared" si="28"/>
        <v>1234.9099999999999</v>
      </c>
      <c r="M144">
        <f>AVERAGE(B144:B193)</f>
        <v>1303.1780000000001</v>
      </c>
      <c r="N144">
        <f t="shared" si="31"/>
        <v>3.7949999999998454</v>
      </c>
      <c r="O144">
        <v>-350.90576666666664</v>
      </c>
      <c r="P144">
        <f t="shared" si="29"/>
        <v>-52.482505831389147</v>
      </c>
      <c r="S144" t="s">
        <v>556</v>
      </c>
      <c r="W144">
        <f>U143-2*U142</f>
        <v>-3.8806407162397014</v>
      </c>
      <c r="X144" t="s">
        <v>570</v>
      </c>
      <c r="Y144">
        <f>U143+2*U142</f>
        <v>4.3055836390698028</v>
      </c>
    </row>
    <row r="145" spans="1:67">
      <c r="A145" s="1">
        <v>144</v>
      </c>
      <c r="B145">
        <v>1201.0999999999999</v>
      </c>
      <c r="C145">
        <f t="shared" si="27"/>
        <v>1400.6895999999999</v>
      </c>
      <c r="D145">
        <f t="shared" si="23"/>
        <v>0.28125</v>
      </c>
      <c r="E145">
        <f t="shared" si="24"/>
        <v>1723.5637709159253</v>
      </c>
      <c r="F145">
        <f t="shared" si="25"/>
        <v>-199.58960000000002</v>
      </c>
      <c r="G145" t="s">
        <v>150</v>
      </c>
      <c r="H145">
        <v>175.06061111111109</v>
      </c>
      <c r="I145">
        <f t="shared" si="22"/>
        <v>-374.6502111111111</v>
      </c>
      <c r="J145">
        <f t="shared" si="30"/>
        <v>5.8279910082409306E-2</v>
      </c>
      <c r="K145">
        <f t="shared" si="26"/>
        <v>0.20000000000004547</v>
      </c>
      <c r="L145">
        <f t="shared" si="28"/>
        <v>1239.7949999999996</v>
      </c>
      <c r="M145">
        <f>AVERAGE(B145:B195)</f>
        <v>1314.2254901960782</v>
      </c>
      <c r="N145">
        <f t="shared" si="31"/>
        <v>4.8849999999997635</v>
      </c>
      <c r="O145">
        <v>-365.67243333333317</v>
      </c>
      <c r="P145">
        <f t="shared" si="29"/>
        <v>5.8279910082409305</v>
      </c>
      <c r="S145" t="s">
        <v>696</v>
      </c>
      <c r="W145" t="s">
        <v>557</v>
      </c>
    </row>
    <row r="146" spans="1:67" ht="15">
      <c r="A146" s="1">
        <v>145</v>
      </c>
      <c r="B146">
        <v>1201.3</v>
      </c>
      <c r="C146">
        <f t="shared" si="27"/>
        <v>1403.9404999999999</v>
      </c>
      <c r="D146">
        <f t="shared" si="23"/>
        <v>0.283203125</v>
      </c>
      <c r="E146">
        <f t="shared" si="24"/>
        <v>1791.388906296648</v>
      </c>
      <c r="F146">
        <f t="shared" si="25"/>
        <v>-202.64049999999997</v>
      </c>
      <c r="G146" t="s">
        <v>151</v>
      </c>
      <c r="H146">
        <v>175.60114444444446</v>
      </c>
      <c r="I146">
        <f t="shared" si="22"/>
        <v>-378.24164444444443</v>
      </c>
      <c r="J146">
        <f t="shared" si="30"/>
        <v>1.6648630650132813E-2</v>
      </c>
      <c r="K146">
        <f t="shared" si="26"/>
        <v>-5.0999999999999091</v>
      </c>
      <c r="L146">
        <f t="shared" si="28"/>
        <v>1245.8449999999998</v>
      </c>
      <c r="M146">
        <f>AVERAGE(B146:B195)</f>
        <v>1316.4879999999998</v>
      </c>
      <c r="N146">
        <f t="shared" si="31"/>
        <v>6.0500000000001819</v>
      </c>
      <c r="O146">
        <v>-374.6502111111111</v>
      </c>
      <c r="P146">
        <f t="shared" si="29"/>
        <v>1.6648630650132814</v>
      </c>
      <c r="S146" s="17" t="s">
        <v>564</v>
      </c>
    </row>
    <row r="147" spans="1:67">
      <c r="A147" s="1">
        <v>146</v>
      </c>
      <c r="B147">
        <v>1196.2</v>
      </c>
      <c r="C147">
        <f t="shared" si="27"/>
        <v>1407.1913999999999</v>
      </c>
      <c r="D147">
        <f t="shared" si="23"/>
        <v>0.28515625</v>
      </c>
      <c r="E147">
        <f t="shared" si="24"/>
        <v>2099.7651033810771</v>
      </c>
      <c r="F147">
        <f t="shared" si="25"/>
        <v>-210.99139999999989</v>
      </c>
      <c r="G147" t="s">
        <v>152</v>
      </c>
      <c r="H147">
        <v>183.85024444444448</v>
      </c>
      <c r="I147">
        <f t="shared" si="22"/>
        <v>-394.84164444444434</v>
      </c>
      <c r="J147">
        <f t="shared" si="30"/>
        <v>-0.42635010867747108</v>
      </c>
      <c r="K147">
        <f t="shared" si="26"/>
        <v>9.3999999999998636</v>
      </c>
      <c r="L147">
        <f t="shared" si="28"/>
        <v>1251.7049999999997</v>
      </c>
      <c r="M147">
        <f>AVERAGE(B147:B197)</f>
        <v>1326.2372549019608</v>
      </c>
      <c r="N147">
        <f t="shared" si="31"/>
        <v>5.8599999999999</v>
      </c>
      <c r="O147">
        <v>-378.24164444444443</v>
      </c>
      <c r="P147">
        <f t="shared" si="29"/>
        <v>-42.635010867747106</v>
      </c>
    </row>
    <row r="148" spans="1:67">
      <c r="A148" s="1">
        <v>147</v>
      </c>
      <c r="B148">
        <v>1205.5999999999999</v>
      </c>
      <c r="C148">
        <f t="shared" si="27"/>
        <v>1410.4422999999999</v>
      </c>
      <c r="D148">
        <f t="shared" si="23"/>
        <v>0.287109375</v>
      </c>
      <c r="E148">
        <f t="shared" si="24"/>
        <v>1691.3638632186867</v>
      </c>
      <c r="F148">
        <f t="shared" si="25"/>
        <v>-204.84230000000002</v>
      </c>
      <c r="G148" t="s">
        <v>153</v>
      </c>
      <c r="H148">
        <v>187.5549</v>
      </c>
      <c r="I148">
        <f t="shared" si="22"/>
        <v>-392.3972</v>
      </c>
      <c r="J148">
        <f t="shared" si="30"/>
        <v>0.77969475779693631</v>
      </c>
      <c r="K148">
        <f t="shared" si="26"/>
        <v>16.400000000000091</v>
      </c>
      <c r="L148">
        <f t="shared" si="28"/>
        <v>1257.9999999999998</v>
      </c>
      <c r="M148">
        <f>AVERAGE(B148:B197)</f>
        <v>1328.838</v>
      </c>
      <c r="N148">
        <f t="shared" si="31"/>
        <v>6.2950000000000728</v>
      </c>
      <c r="O148">
        <v>-394.84164444444434</v>
      </c>
      <c r="P148">
        <f t="shared" si="29"/>
        <v>77.969475779693624</v>
      </c>
    </row>
    <row r="149" spans="1:67">
      <c r="A149" s="1">
        <v>148</v>
      </c>
      <c r="B149">
        <v>1222</v>
      </c>
      <c r="C149">
        <f t="shared" si="27"/>
        <v>1413.6931999999999</v>
      </c>
      <c r="D149">
        <f t="shared" si="23"/>
        <v>0.2890625</v>
      </c>
      <c r="E149">
        <f t="shared" si="24"/>
        <v>1986.8397135937557</v>
      </c>
      <c r="F149">
        <f t="shared" si="25"/>
        <v>-191.69319999999993</v>
      </c>
      <c r="G149" t="s">
        <v>154</v>
      </c>
      <c r="H149">
        <v>181.60400000000004</v>
      </c>
      <c r="I149">
        <f t="shared" si="22"/>
        <v>-373.29719999999998</v>
      </c>
      <c r="J149">
        <f t="shared" si="30"/>
        <v>1.3420621931260304</v>
      </c>
      <c r="K149">
        <f t="shared" si="26"/>
        <v>6.7000000000000455</v>
      </c>
      <c r="L149">
        <f t="shared" si="28"/>
        <v>1264.3599999999997</v>
      </c>
      <c r="M149">
        <f>AVERAGE(B149:B199)</f>
        <v>1338.5196078431372</v>
      </c>
      <c r="N149">
        <f t="shared" si="31"/>
        <v>6.3599999999999</v>
      </c>
      <c r="O149">
        <v>-392.3972</v>
      </c>
      <c r="P149">
        <f t="shared" si="29"/>
        <v>134.20621931260303</v>
      </c>
      <c r="R149" s="18" t="s">
        <v>541</v>
      </c>
      <c r="S149" t="s">
        <v>563</v>
      </c>
    </row>
    <row r="150" spans="1:67">
      <c r="A150" s="1">
        <v>149</v>
      </c>
      <c r="B150">
        <v>1228.7</v>
      </c>
      <c r="C150">
        <f t="shared" si="27"/>
        <v>1416.9440999999999</v>
      </c>
      <c r="D150">
        <f t="shared" si="23"/>
        <v>0.291015625</v>
      </c>
      <c r="E150">
        <f t="shared" si="24"/>
        <v>1295.6701757334142</v>
      </c>
      <c r="F150">
        <f t="shared" si="25"/>
        <v>-188.24409999999989</v>
      </c>
      <c r="G150" t="s">
        <v>155</v>
      </c>
      <c r="H150">
        <v>174.28643333333338</v>
      </c>
      <c r="I150">
        <f t="shared" si="22"/>
        <v>-362.53053333333327</v>
      </c>
      <c r="J150">
        <f t="shared" si="30"/>
        <v>0.54529177179132782</v>
      </c>
      <c r="K150">
        <f t="shared" si="26"/>
        <v>7.0999999999999091</v>
      </c>
      <c r="L150">
        <f t="shared" si="28"/>
        <v>1268.2199999999998</v>
      </c>
      <c r="M150">
        <f>AVERAGE(B150:B199)</f>
        <v>1340.85</v>
      </c>
      <c r="N150">
        <f t="shared" si="31"/>
        <v>3.8600000000001273</v>
      </c>
      <c r="O150">
        <v>-373.29719999999998</v>
      </c>
      <c r="P150">
        <f t="shared" si="29"/>
        <v>54.52917717913278</v>
      </c>
    </row>
    <row r="151" spans="1:67">
      <c r="A151" s="1">
        <v>150</v>
      </c>
      <c r="B151">
        <v>1235.8</v>
      </c>
      <c r="C151">
        <f t="shared" si="27"/>
        <v>1420.1949999999999</v>
      </c>
      <c r="D151">
        <f t="shared" si="23"/>
        <v>0.29296875</v>
      </c>
      <c r="E151">
        <f t="shared" si="24"/>
        <v>1412.190133363735</v>
      </c>
      <c r="F151">
        <f t="shared" si="25"/>
        <v>-184.39499999999998</v>
      </c>
      <c r="G151" t="s">
        <v>156</v>
      </c>
      <c r="H151">
        <v>168.29108888888885</v>
      </c>
      <c r="I151">
        <f t="shared" si="22"/>
        <v>-352.68608888888883</v>
      </c>
      <c r="J151">
        <f t="shared" si="30"/>
        <v>0.57452662243080677</v>
      </c>
      <c r="K151">
        <f t="shared" si="26"/>
        <v>-2.5</v>
      </c>
      <c r="L151">
        <f t="shared" si="28"/>
        <v>1271.7499999999998</v>
      </c>
      <c r="M151">
        <f>AVERAGE(B151:B201)</f>
        <v>1349.5882352941176</v>
      </c>
      <c r="N151">
        <f t="shared" si="31"/>
        <v>3.5299999999999727</v>
      </c>
      <c r="O151">
        <v>-362.53053333333327</v>
      </c>
      <c r="P151">
        <f t="shared" si="29"/>
        <v>57.452662243080674</v>
      </c>
    </row>
    <row r="152" spans="1:67">
      <c r="A152" s="1">
        <v>151</v>
      </c>
      <c r="B152">
        <v>1233.3</v>
      </c>
      <c r="C152">
        <f t="shared" si="27"/>
        <v>1423.4458999999999</v>
      </c>
      <c r="D152">
        <f t="shared" si="23"/>
        <v>0.294921875</v>
      </c>
      <c r="E152">
        <f t="shared" si="24"/>
        <v>1734.4396414365133</v>
      </c>
      <c r="F152">
        <f t="shared" si="25"/>
        <v>-190.14589999999998</v>
      </c>
      <c r="G152" t="s">
        <v>157</v>
      </c>
      <c r="H152">
        <v>163.41796666666673</v>
      </c>
      <c r="I152">
        <f t="shared" si="22"/>
        <v>-353.56386666666674</v>
      </c>
      <c r="J152">
        <f t="shared" si="30"/>
        <v>-0.20270818130219737</v>
      </c>
      <c r="K152">
        <f t="shared" si="26"/>
        <v>-24.700000000000045</v>
      </c>
      <c r="L152">
        <f t="shared" si="28"/>
        <v>1275.105</v>
      </c>
      <c r="M152">
        <f>AVERAGE(B152:B201)</f>
        <v>1351.864</v>
      </c>
      <c r="N152">
        <f t="shared" si="31"/>
        <v>3.3550000000002456</v>
      </c>
      <c r="O152">
        <v>-352.68608888888883</v>
      </c>
      <c r="P152">
        <f t="shared" si="29"/>
        <v>-20.270818130219737</v>
      </c>
    </row>
    <row r="153" spans="1:67">
      <c r="A153" s="1">
        <v>152</v>
      </c>
      <c r="B153">
        <v>1208.5999999999999</v>
      </c>
      <c r="C153">
        <f t="shared" si="27"/>
        <v>1426.6967999999999</v>
      </c>
      <c r="D153">
        <f t="shared" si="23"/>
        <v>0.296875</v>
      </c>
      <c r="E153">
        <f t="shared" si="24"/>
        <v>1384.549857392167</v>
      </c>
      <c r="F153">
        <f t="shared" si="25"/>
        <v>-218.09680000000003</v>
      </c>
      <c r="G153" t="s">
        <v>158</v>
      </c>
      <c r="H153">
        <v>168.63373333333334</v>
      </c>
      <c r="I153">
        <f t="shared" si="22"/>
        <v>-386.73053333333337</v>
      </c>
      <c r="J153">
        <f t="shared" si="30"/>
        <v>-2.0436869104749338</v>
      </c>
      <c r="K153">
        <f t="shared" si="26"/>
        <v>14.400000000000091</v>
      </c>
      <c r="L153">
        <f t="shared" si="28"/>
        <v>1279.0549999999998</v>
      </c>
      <c r="M153">
        <f>AVERAGE(B153:B203)</f>
        <v>1360.2588235294118</v>
      </c>
      <c r="N153">
        <f t="shared" si="31"/>
        <v>3.9499999999998181</v>
      </c>
      <c r="O153">
        <v>-353.56386666666674</v>
      </c>
      <c r="P153">
        <f t="shared" si="29"/>
        <v>-204.36869104749337</v>
      </c>
      <c r="R153" t="s">
        <v>562</v>
      </c>
    </row>
    <row r="154" spans="1:67">
      <c r="A154" s="1">
        <v>153</v>
      </c>
      <c r="B154">
        <v>1223</v>
      </c>
      <c r="C154">
        <f t="shared" si="27"/>
        <v>1429.9476999999999</v>
      </c>
      <c r="D154">
        <f t="shared" si="23"/>
        <v>0.298828125</v>
      </c>
      <c r="E154">
        <f t="shared" si="24"/>
        <v>1858.2520448055639</v>
      </c>
      <c r="F154">
        <f t="shared" si="25"/>
        <v>-206.94769999999994</v>
      </c>
      <c r="G154" t="s">
        <v>159</v>
      </c>
      <c r="H154">
        <v>175.06061111111109</v>
      </c>
      <c r="I154">
        <f t="shared" si="22"/>
        <v>-382.00831111111103</v>
      </c>
      <c r="J154">
        <f t="shared" si="30"/>
        <v>1.1774325429272356</v>
      </c>
      <c r="K154">
        <f t="shared" si="26"/>
        <v>0.20000000000004547</v>
      </c>
      <c r="L154">
        <f t="shared" si="28"/>
        <v>1283.8499999999999</v>
      </c>
      <c r="M154">
        <f>AVERAGE(B154:B203)</f>
        <v>1363.2920000000001</v>
      </c>
      <c r="N154">
        <f t="shared" si="31"/>
        <v>4.7950000000000728</v>
      </c>
      <c r="O154">
        <v>-386.73053333333337</v>
      </c>
      <c r="P154">
        <f t="shared" si="29"/>
        <v>117.74325429272356</v>
      </c>
      <c r="S154" t="s">
        <v>650</v>
      </c>
    </row>
    <row r="155" spans="1:67">
      <c r="A155" s="1">
        <v>154</v>
      </c>
      <c r="B155">
        <v>1223.2</v>
      </c>
      <c r="C155">
        <f t="shared" si="27"/>
        <v>1433.1985999999999</v>
      </c>
      <c r="D155">
        <f t="shared" si="23"/>
        <v>0.30078125</v>
      </c>
      <c r="E155">
        <f t="shared" si="24"/>
        <v>2019.373678497067</v>
      </c>
      <c r="F155">
        <f t="shared" si="25"/>
        <v>-209.9985999999999</v>
      </c>
      <c r="G155" t="s">
        <v>160</v>
      </c>
      <c r="H155">
        <v>175.60114444444446</v>
      </c>
      <c r="I155">
        <f t="shared" si="22"/>
        <v>-385.59974444444435</v>
      </c>
      <c r="J155">
        <f t="shared" si="30"/>
        <v>1.6350555918904958E-2</v>
      </c>
      <c r="K155">
        <f t="shared" si="26"/>
        <v>2.7999999999999545</v>
      </c>
      <c r="L155">
        <f t="shared" si="28"/>
        <v>1287.7850000000001</v>
      </c>
      <c r="M155">
        <f>AVERAGE(B155:B205)</f>
        <v>1371.1745098039214</v>
      </c>
      <c r="N155">
        <f t="shared" si="31"/>
        <v>3.9350000000001728</v>
      </c>
      <c r="O155">
        <v>-382.00831111111103</v>
      </c>
      <c r="P155">
        <f t="shared" si="29"/>
        <v>1.6350555918904959</v>
      </c>
      <c r="S155" t="s">
        <v>608</v>
      </c>
    </row>
    <row r="156" spans="1:67">
      <c r="A156" s="1">
        <v>155</v>
      </c>
      <c r="B156">
        <v>1226</v>
      </c>
      <c r="C156">
        <f t="shared" si="27"/>
        <v>1436.4494999999999</v>
      </c>
      <c r="D156">
        <f t="shared" si="23"/>
        <v>0.302734375</v>
      </c>
      <c r="E156">
        <f t="shared" si="24"/>
        <v>2011.5725206162583</v>
      </c>
      <c r="F156">
        <f t="shared" si="25"/>
        <v>-210.44949999999994</v>
      </c>
      <c r="G156" t="s">
        <v>161</v>
      </c>
      <c r="H156">
        <v>183.85024444444448</v>
      </c>
      <c r="I156">
        <f t="shared" si="22"/>
        <v>-394.2997444444444</v>
      </c>
      <c r="J156">
        <f t="shared" si="30"/>
        <v>0.22838499184338945</v>
      </c>
      <c r="K156">
        <f t="shared" si="26"/>
        <v>26.599999999999909</v>
      </c>
      <c r="L156">
        <f t="shared" si="28"/>
        <v>1291.6850000000002</v>
      </c>
      <c r="M156">
        <f>AVERAGE(B156:B205)</f>
        <v>1374.1340000000002</v>
      </c>
      <c r="N156">
        <f t="shared" si="31"/>
        <v>3.9000000000000909</v>
      </c>
      <c r="O156">
        <v>-385.59974444444435</v>
      </c>
      <c r="P156">
        <f t="shared" si="29"/>
        <v>22.838499184338946</v>
      </c>
      <c r="S156" t="s">
        <v>609</v>
      </c>
    </row>
    <row r="157" spans="1:67">
      <c r="A157" s="1">
        <v>156</v>
      </c>
      <c r="B157">
        <v>1252.5999999999999</v>
      </c>
      <c r="C157">
        <f t="shared" si="27"/>
        <v>1439.7003999999999</v>
      </c>
      <c r="D157">
        <f t="shared" si="23"/>
        <v>0.3046875</v>
      </c>
      <c r="E157">
        <f t="shared" si="24"/>
        <v>2525.3465715753268</v>
      </c>
      <c r="F157">
        <f t="shared" si="25"/>
        <v>-187.10040000000004</v>
      </c>
      <c r="G157" t="s">
        <v>162</v>
      </c>
      <c r="H157">
        <v>187.5549</v>
      </c>
      <c r="I157">
        <f t="shared" si="22"/>
        <v>-374.65530000000001</v>
      </c>
      <c r="J157">
        <f t="shared" si="30"/>
        <v>2.1235829474692567</v>
      </c>
      <c r="K157">
        <f t="shared" si="26"/>
        <v>-11.199999999999818</v>
      </c>
      <c r="L157">
        <f t="shared" si="28"/>
        <v>1294.4850000000001</v>
      </c>
      <c r="M157">
        <f>AVERAGE(B157:B207)</f>
        <v>1380.9137254901959</v>
      </c>
      <c r="N157">
        <f t="shared" si="31"/>
        <v>2.7999999999999545</v>
      </c>
      <c r="O157">
        <v>-394.2997444444444</v>
      </c>
      <c r="P157">
        <f t="shared" si="29"/>
        <v>212.35829474692568</v>
      </c>
      <c r="S157" t="s">
        <v>649</v>
      </c>
    </row>
    <row r="158" spans="1:67">
      <c r="A158" s="1">
        <v>157</v>
      </c>
      <c r="B158">
        <v>1241.4000000000001</v>
      </c>
      <c r="C158">
        <f t="shared" si="27"/>
        <v>1442.9512999999999</v>
      </c>
      <c r="D158">
        <f t="shared" si="23"/>
        <v>0.306640625</v>
      </c>
      <c r="E158">
        <f t="shared" si="24"/>
        <v>1545.4082369865594</v>
      </c>
      <c r="F158">
        <f t="shared" si="25"/>
        <v>-201.55129999999986</v>
      </c>
      <c r="G158" t="s">
        <v>163</v>
      </c>
      <c r="H158">
        <v>181.60400000000004</v>
      </c>
      <c r="I158">
        <f t="shared" si="22"/>
        <v>-383.1552999999999</v>
      </c>
      <c r="J158">
        <f t="shared" si="30"/>
        <v>-0.9022071854357836</v>
      </c>
      <c r="K158">
        <f t="shared" si="26"/>
        <v>16.699999999999818</v>
      </c>
      <c r="L158">
        <f t="shared" si="28"/>
        <v>1296.595</v>
      </c>
      <c r="M158">
        <f>AVERAGE(B158:B207)</f>
        <v>1383.48</v>
      </c>
      <c r="N158">
        <f t="shared" si="31"/>
        <v>2.1099999999999</v>
      </c>
      <c r="O158">
        <v>-374.65530000000001</v>
      </c>
      <c r="P158">
        <f t="shared" si="29"/>
        <v>-90.220718543578357</v>
      </c>
      <c r="S158" t="s">
        <v>610</v>
      </c>
    </row>
    <row r="159" spans="1:67">
      <c r="A159" s="1">
        <v>158</v>
      </c>
      <c r="B159">
        <v>1258.0999999999999</v>
      </c>
      <c r="C159">
        <f t="shared" si="27"/>
        <v>1446.2021999999999</v>
      </c>
      <c r="D159">
        <f t="shared" si="23"/>
        <v>0.30859375</v>
      </c>
      <c r="E159">
        <f t="shared" si="24"/>
        <v>1823.3799617064549</v>
      </c>
      <c r="F159">
        <f t="shared" si="25"/>
        <v>-188.10220000000004</v>
      </c>
      <c r="G159" t="s">
        <v>164</v>
      </c>
      <c r="H159">
        <v>174.28643333333338</v>
      </c>
      <c r="I159">
        <f t="shared" si="22"/>
        <v>-362.38863333333342</v>
      </c>
      <c r="J159">
        <f t="shared" si="30"/>
        <v>1.3273984579921962</v>
      </c>
      <c r="K159">
        <f t="shared" si="26"/>
        <v>24.900000000000091</v>
      </c>
      <c r="L159">
        <f t="shared" si="28"/>
        <v>1298.885</v>
      </c>
      <c r="M159">
        <f>AVERAGE(B159:B209)</f>
        <v>1389.8313725490198</v>
      </c>
      <c r="N159">
        <f t="shared" si="31"/>
        <v>2.2899999999999636</v>
      </c>
      <c r="O159">
        <v>-383.1552999999999</v>
      </c>
      <c r="P159">
        <f t="shared" si="29"/>
        <v>132.73984579921964</v>
      </c>
      <c r="S159" t="s">
        <v>611</v>
      </c>
      <c r="AO159" s="25"/>
      <c r="AP159" s="25"/>
      <c r="AQ159" s="25"/>
      <c r="AR159" s="25"/>
      <c r="BH159" s="25"/>
      <c r="BI159" s="25"/>
      <c r="BJ159" s="25"/>
      <c r="BK159" s="25"/>
      <c r="BL159" s="25"/>
      <c r="BM159" s="25"/>
      <c r="BN159" s="25"/>
      <c r="BO159" s="25"/>
    </row>
    <row r="160" spans="1:67">
      <c r="A160" s="1">
        <v>159</v>
      </c>
      <c r="B160">
        <v>1283</v>
      </c>
      <c r="C160">
        <f t="shared" si="27"/>
        <v>1449.4530999999999</v>
      </c>
      <c r="D160">
        <f t="shared" si="23"/>
        <v>0.310546875</v>
      </c>
      <c r="E160">
        <f t="shared" si="24"/>
        <v>2133.9171232971512</v>
      </c>
      <c r="F160">
        <f t="shared" si="25"/>
        <v>-166.45309999999995</v>
      </c>
      <c r="G160" t="s">
        <v>165</v>
      </c>
      <c r="H160">
        <v>168.29108888888885</v>
      </c>
      <c r="I160">
        <f t="shared" si="22"/>
        <v>-334.7441888888888</v>
      </c>
      <c r="J160">
        <f t="shared" si="30"/>
        <v>1.9407638347622831</v>
      </c>
      <c r="K160">
        <f t="shared" si="26"/>
        <v>2.7999999999999545</v>
      </c>
      <c r="L160">
        <f t="shared" si="28"/>
        <v>1300.645</v>
      </c>
      <c r="M160">
        <f>AVERAGE(B160:B209)</f>
        <v>1392.4660000000001</v>
      </c>
      <c r="N160">
        <f t="shared" si="31"/>
        <v>1.7599999999999909</v>
      </c>
      <c r="O160">
        <v>-362.38863333333342</v>
      </c>
      <c r="P160">
        <f t="shared" si="29"/>
        <v>194.0763834762283</v>
      </c>
      <c r="S160" t="s">
        <v>612</v>
      </c>
    </row>
    <row r="161" spans="1:64">
      <c r="A161" s="1">
        <v>160</v>
      </c>
      <c r="B161">
        <v>1285.8</v>
      </c>
      <c r="C161">
        <f t="shared" si="27"/>
        <v>1452.704</v>
      </c>
      <c r="D161">
        <f t="shared" si="23"/>
        <v>0.3125</v>
      </c>
      <c r="E161">
        <f t="shared" si="24"/>
        <v>1845.0232229266192</v>
      </c>
      <c r="F161">
        <f t="shared" si="25"/>
        <v>-166.904</v>
      </c>
      <c r="G161" t="s">
        <v>166</v>
      </c>
      <c r="H161">
        <v>163.41796666666673</v>
      </c>
      <c r="I161">
        <f t="shared" si="22"/>
        <v>-330.32196666666675</v>
      </c>
      <c r="J161">
        <f t="shared" si="30"/>
        <v>0.21776326022709247</v>
      </c>
      <c r="K161">
        <f t="shared" si="26"/>
        <v>3.7000000000000455</v>
      </c>
      <c r="L161">
        <f t="shared" si="28"/>
        <v>1300.5650000000001</v>
      </c>
      <c r="M161">
        <f>AVERAGE(B161:B211)</f>
        <v>1398.3098039215686</v>
      </c>
      <c r="N161">
        <f t="shared" si="31"/>
        <v>-7.999999999992724E-2</v>
      </c>
      <c r="O161">
        <v>-334.7441888888888</v>
      </c>
      <c r="P161">
        <f t="shared" si="29"/>
        <v>21.776326022709249</v>
      </c>
      <c r="S161" t="s">
        <v>673</v>
      </c>
    </row>
    <row r="162" spans="1:64">
      <c r="A162" s="1">
        <v>161</v>
      </c>
      <c r="B162">
        <v>1289.5</v>
      </c>
      <c r="C162">
        <f t="shared" si="27"/>
        <v>1455.9549</v>
      </c>
      <c r="D162">
        <f t="shared" si="23"/>
        <v>0.314453125</v>
      </c>
      <c r="E162">
        <f t="shared" si="24"/>
        <v>2112.4051184294995</v>
      </c>
      <c r="F162">
        <f t="shared" si="25"/>
        <v>-166.45489999999995</v>
      </c>
      <c r="G162" t="s">
        <v>167</v>
      </c>
      <c r="H162">
        <v>168.63373333333334</v>
      </c>
      <c r="I162">
        <f t="shared" si="22"/>
        <v>-335.08863333333329</v>
      </c>
      <c r="J162">
        <f t="shared" si="30"/>
        <v>0.28693291973633545</v>
      </c>
      <c r="K162">
        <f t="shared" si="26"/>
        <v>-6.9000000000000909</v>
      </c>
      <c r="L162">
        <f t="shared" si="28"/>
        <v>1300.7350000000001</v>
      </c>
      <c r="M162">
        <f>AVERAGE(B162:B211)</f>
        <v>1400.56</v>
      </c>
      <c r="N162">
        <f t="shared" si="31"/>
        <v>0.17000000000007276</v>
      </c>
      <c r="O162">
        <v>-330.32196666666675</v>
      </c>
      <c r="P162">
        <f t="shared" si="29"/>
        <v>28.693291973633546</v>
      </c>
      <c r="S162" t="s">
        <v>613</v>
      </c>
    </row>
    <row r="163" spans="1:64">
      <c r="A163" s="1">
        <v>162</v>
      </c>
      <c r="B163">
        <v>1282.5999999999999</v>
      </c>
      <c r="C163">
        <f t="shared" si="27"/>
        <v>1459.2058</v>
      </c>
      <c r="D163">
        <f t="shared" si="23"/>
        <v>0.31640625</v>
      </c>
      <c r="E163">
        <f t="shared" si="24"/>
        <v>1530.6809346152556</v>
      </c>
      <c r="F163">
        <f t="shared" si="25"/>
        <v>-176.60580000000004</v>
      </c>
      <c r="G163" t="s">
        <v>168</v>
      </c>
      <c r="H163">
        <v>175.06061111111109</v>
      </c>
      <c r="I163">
        <f t="shared" si="22"/>
        <v>-351.66641111111113</v>
      </c>
      <c r="J163">
        <f t="shared" si="30"/>
        <v>-0.53796974894745764</v>
      </c>
      <c r="K163">
        <f t="shared" si="26"/>
        <v>15.5</v>
      </c>
      <c r="L163">
        <f t="shared" si="28"/>
        <v>1302.105</v>
      </c>
      <c r="M163">
        <f>AVERAGE(B163:B213)</f>
        <v>1408.2607843137255</v>
      </c>
      <c r="N163">
        <f t="shared" si="31"/>
        <v>1.3699999999998909</v>
      </c>
      <c r="O163">
        <v>-335.08863333333329</v>
      </c>
      <c r="P163">
        <f t="shared" si="29"/>
        <v>-53.796974894745766</v>
      </c>
    </row>
    <row r="164" spans="1:64">
      <c r="A164" s="1">
        <v>163</v>
      </c>
      <c r="B164">
        <v>1298.0999999999999</v>
      </c>
      <c r="C164">
        <f t="shared" si="27"/>
        <v>1462.4567</v>
      </c>
      <c r="D164">
        <f t="shared" si="23"/>
        <v>0.318359375</v>
      </c>
      <c r="E164">
        <f t="shared" si="24"/>
        <v>1568.0209076407323</v>
      </c>
      <c r="F164">
        <f t="shared" si="25"/>
        <v>-164.35670000000005</v>
      </c>
      <c r="G164" t="s">
        <v>169</v>
      </c>
      <c r="H164">
        <v>175.60114444444446</v>
      </c>
      <c r="I164">
        <f t="shared" si="22"/>
        <v>-339.9578444444445</v>
      </c>
      <c r="J164">
        <f t="shared" si="30"/>
        <v>1.1940528464679145</v>
      </c>
      <c r="K164">
        <f t="shared" si="26"/>
        <v>24</v>
      </c>
      <c r="L164">
        <f>AVERAGE(B164:B183)</f>
        <v>1305.5650000000001</v>
      </c>
      <c r="M164">
        <f>AVERAGE(B164:B213)</f>
        <v>1410.7739999999999</v>
      </c>
      <c r="N164">
        <f t="shared" si="31"/>
        <v>3.4600000000000364</v>
      </c>
      <c r="O164">
        <v>-351.66641111111113</v>
      </c>
      <c r="P164">
        <f t="shared" si="29"/>
        <v>119.40528464679146</v>
      </c>
      <c r="AX164" s="25"/>
    </row>
    <row r="165" spans="1:64" ht="57">
      <c r="A165" s="1">
        <v>164</v>
      </c>
      <c r="B165">
        <v>1322.1</v>
      </c>
      <c r="C165">
        <f t="shared" si="27"/>
        <v>1465.7076</v>
      </c>
      <c r="D165">
        <f t="shared" si="23"/>
        <v>0.3203125</v>
      </c>
      <c r="E165">
        <f t="shared" si="24"/>
        <v>1068.8511011261101</v>
      </c>
      <c r="F165">
        <f t="shared" si="25"/>
        <v>-143.60760000000005</v>
      </c>
      <c r="G165" t="s">
        <v>170</v>
      </c>
      <c r="H165">
        <v>183.85024444444448</v>
      </c>
      <c r="I165">
        <f t="shared" si="22"/>
        <v>-327.4578444444445</v>
      </c>
      <c r="J165">
        <f t="shared" si="30"/>
        <v>1.8152938506920808</v>
      </c>
      <c r="K165">
        <f t="shared" si="26"/>
        <v>-3.5999999999999091</v>
      </c>
      <c r="L165">
        <f t="shared" si="28"/>
        <v>1308.1800000000003</v>
      </c>
      <c r="M165">
        <f>AVERAGE(B165:B215)</f>
        <v>1419.0882352941176</v>
      </c>
      <c r="N165">
        <f t="shared" si="31"/>
        <v>2.6150000000002365</v>
      </c>
      <c r="O165">
        <v>-339.9578444444445</v>
      </c>
      <c r="P165">
        <f t="shared" si="29"/>
        <v>181.52938506920808</v>
      </c>
      <c r="S165" s="25" t="s">
        <v>578</v>
      </c>
      <c r="T165" s="25" t="s">
        <v>579</v>
      </c>
      <c r="U165" s="25" t="s">
        <v>597</v>
      </c>
      <c r="V165" s="25" t="s">
        <v>581</v>
      </c>
      <c r="W165" s="25" t="s">
        <v>582</v>
      </c>
      <c r="X165" s="25" t="s">
        <v>583</v>
      </c>
      <c r="Y165" s="25" t="s">
        <v>584</v>
      </c>
      <c r="Z165" s="25" t="s">
        <v>588</v>
      </c>
      <c r="AA165" s="25" t="s">
        <v>586</v>
      </c>
      <c r="AB165" s="25" t="s">
        <v>587</v>
      </c>
      <c r="AC165" s="25" t="s">
        <v>589</v>
      </c>
      <c r="AD165" s="25" t="s">
        <v>590</v>
      </c>
      <c r="AE165" s="25" t="s">
        <v>596</v>
      </c>
      <c r="AF165" s="25" t="s">
        <v>603</v>
      </c>
      <c r="AG165" s="25"/>
      <c r="AI165" s="25" t="s">
        <v>578</v>
      </c>
      <c r="AJ165" s="25" t="s">
        <v>579</v>
      </c>
      <c r="AK165" s="25" t="s">
        <v>597</v>
      </c>
      <c r="AL165" s="25" t="s">
        <v>581</v>
      </c>
      <c r="AM165" s="25" t="s">
        <v>582</v>
      </c>
      <c r="AN165" s="25" t="s">
        <v>583</v>
      </c>
      <c r="AO165" s="25" t="s">
        <v>584</v>
      </c>
      <c r="AP165" s="25" t="s">
        <v>588</v>
      </c>
      <c r="AQ165" s="25" t="s">
        <v>586</v>
      </c>
      <c r="AR165" s="25" t="s">
        <v>585</v>
      </c>
      <c r="AS165" s="25" t="s">
        <v>589</v>
      </c>
      <c r="AT165" s="25" t="s">
        <v>590</v>
      </c>
      <c r="AU165" s="25" t="s">
        <v>596</v>
      </c>
      <c r="AV165" s="25" t="s">
        <v>603</v>
      </c>
      <c r="AW165" s="25"/>
      <c r="AY165" s="25" t="s">
        <v>578</v>
      </c>
      <c r="AZ165" s="25" t="s">
        <v>579</v>
      </c>
      <c r="BA165" s="25" t="s">
        <v>597</v>
      </c>
      <c r="BB165" s="25" t="s">
        <v>581</v>
      </c>
      <c r="BC165" s="25" t="s">
        <v>582</v>
      </c>
      <c r="BD165" s="25" t="s">
        <v>583</v>
      </c>
      <c r="BE165" s="25" t="s">
        <v>584</v>
      </c>
      <c r="BF165" s="25" t="s">
        <v>588</v>
      </c>
      <c r="BG165" s="25" t="s">
        <v>586</v>
      </c>
      <c r="BH165" s="25" t="s">
        <v>585</v>
      </c>
      <c r="BI165" s="25" t="s">
        <v>589</v>
      </c>
      <c r="BJ165" s="25" t="s">
        <v>590</v>
      </c>
      <c r="BK165" s="25" t="s">
        <v>596</v>
      </c>
      <c r="BL165" s="25" t="s">
        <v>603</v>
      </c>
    </row>
    <row r="166" spans="1:64">
      <c r="A166" s="1">
        <v>165</v>
      </c>
      <c r="B166">
        <v>1318.5</v>
      </c>
      <c r="C166">
        <f t="shared" si="27"/>
        <v>1468.9585</v>
      </c>
      <c r="D166">
        <f t="shared" si="23"/>
        <v>0.322265625</v>
      </c>
      <c r="E166">
        <f t="shared" si="24"/>
        <v>1683.4720100962968</v>
      </c>
      <c r="F166">
        <f t="shared" si="25"/>
        <v>-150.45849999999996</v>
      </c>
      <c r="G166" t="s">
        <v>171</v>
      </c>
      <c r="H166">
        <v>187.5549</v>
      </c>
      <c r="I166">
        <f t="shared" si="22"/>
        <v>-338.01339999999993</v>
      </c>
      <c r="J166">
        <f t="shared" si="30"/>
        <v>-0.27303754266210917</v>
      </c>
      <c r="K166">
        <f t="shared" si="26"/>
        <v>3.5999999999999091</v>
      </c>
      <c r="L166">
        <f t="shared" si="28"/>
        <v>1312.3700000000003</v>
      </c>
      <c r="M166">
        <f>AVERAGE(B166:B215)</f>
        <v>1421.0279999999998</v>
      </c>
      <c r="N166">
        <f t="shared" si="31"/>
        <v>4.1900000000000546</v>
      </c>
      <c r="O166">
        <v>-327.4578444444445</v>
      </c>
      <c r="P166">
        <f t="shared" si="29"/>
        <v>-27.303754266210916</v>
      </c>
      <c r="S166" t="s">
        <v>577</v>
      </c>
      <c r="T166" t="s">
        <v>580</v>
      </c>
      <c r="U166">
        <f>COUNT(B481:B512)</f>
        <v>32</v>
      </c>
      <c r="V166" cm="1">
        <f t="array" ref="V166:V197">(B481:B512)</f>
        <v>2761.6</v>
      </c>
      <c r="W166">
        <f>AVERAGE(_xlfn.ANCHORARRAY(V166))</f>
        <v>3191.5312500000005</v>
      </c>
      <c r="X166">
        <f>V166-W166</f>
        <v>-429.93125000000055</v>
      </c>
      <c r="Y166">
        <f>X166</f>
        <v>-429.93125000000055</v>
      </c>
      <c r="Z166">
        <f>MAX(Y166:Y197)-MIN(Y166:Y197)</f>
        <v>3201.8749999999918</v>
      </c>
      <c r="AA166">
        <f t="shared" ref="AA166:AA197" si="32">POWER(X166,2)</f>
        <v>184840.87972656297</v>
      </c>
      <c r="AB166">
        <f>SQRT(SUM(AA166:AA197)/COUNT(AA166:AA197))</f>
        <v>223.23037069009564</v>
      </c>
      <c r="AC166">
        <f>Z166/AB166</f>
        <v>14.343366407096388</v>
      </c>
      <c r="AD166">
        <f>LOG(AC166)</f>
        <v>1.1566510927853586</v>
      </c>
      <c r="AE166">
        <f>LOG(U166)</f>
        <v>1.505149978319906</v>
      </c>
      <c r="AF166">
        <f>AD166</f>
        <v>1.1566510927853586</v>
      </c>
      <c r="AI166" t="s">
        <v>575</v>
      </c>
      <c r="AJ166" t="s">
        <v>619</v>
      </c>
      <c r="AK166">
        <f>COUNT(B481:B488)</f>
        <v>8</v>
      </c>
      <c r="AL166" cm="1">
        <f t="array" ref="AL166:AL173">(B481:B488)</f>
        <v>2761.6</v>
      </c>
      <c r="AM166">
        <f>AVERAGE(_xlfn.ANCHORARRAY(AL166))</f>
        <v>2862.2125000000001</v>
      </c>
      <c r="AN166">
        <f>AL166-AM166</f>
        <v>-100.61250000000018</v>
      </c>
      <c r="AO166">
        <f>AN166</f>
        <v>-100.61250000000018</v>
      </c>
      <c r="AP166">
        <f>MAX(AO166:AO173)-MIN(AO166:AO173)</f>
        <v>197.33749999999964</v>
      </c>
      <c r="AQ166">
        <f t="shared" ref="AQ166:AQ173" si="33">POWER(AN166,2)</f>
        <v>10122.875156250037</v>
      </c>
      <c r="AR166">
        <f>SQRT(SUM(AQ166:AQ173)/COUNT(AQ166:AQ173))</f>
        <v>61.114205335175605</v>
      </c>
      <c r="AS166">
        <f>AP166/AR166</f>
        <v>3.2289955979582667</v>
      </c>
      <c r="AT166">
        <f>LOG(AS166)</f>
        <v>0.50906745295034928</v>
      </c>
      <c r="AU166">
        <f>LOG(AK166)</f>
        <v>0.90308998699194354</v>
      </c>
      <c r="AV166">
        <f>AVERAGE(AT166:AT193)</f>
        <v>0.46710530193349775</v>
      </c>
      <c r="AY166" t="s">
        <v>573</v>
      </c>
      <c r="AZ166" t="s">
        <v>657</v>
      </c>
      <c r="BA166">
        <f>COUNT(B481:B482)</f>
        <v>2</v>
      </c>
      <c r="BB166" cm="1">
        <f t="array" ref="BB166:BB167">(B481:B482)</f>
        <v>2761.6</v>
      </c>
      <c r="BC166">
        <f>AVERAGE(B356:B357)</f>
        <v>1670.25</v>
      </c>
      <c r="BD166">
        <f>BB166-BC166</f>
        <v>1091.3499999999999</v>
      </c>
      <c r="BE166">
        <f>SUM(BD166)</f>
        <v>1091.3499999999999</v>
      </c>
      <c r="BF166">
        <f>MAX(BE166:BE167)-MIN(BE166:BE167)</f>
        <v>1122.4499999999998</v>
      </c>
      <c r="BG166">
        <f>POWER(BD166,2)</f>
        <v>1191044.8224999998</v>
      </c>
      <c r="BH166">
        <f>SQRT(SUM(BG166:BG167)/COUNT(BG166:BG167))</f>
        <v>1107.0092196996372</v>
      </c>
      <c r="BI166">
        <f>BF166/BH166</f>
        <v>1.0139481948529319</v>
      </c>
      <c r="BJ166">
        <f>LOG(BI166)</f>
        <v>6.0157663737932798E-3</v>
      </c>
      <c r="BK166">
        <f>LOG(BA166)</f>
        <v>0.3010299956639812</v>
      </c>
      <c r="BL166">
        <f>AVERAGE(BJ166:BJ211)</f>
        <v>1.5132383839266085E-3</v>
      </c>
    </row>
    <row r="167" spans="1:64">
      <c r="A167" s="1">
        <v>166</v>
      </c>
      <c r="B167">
        <v>1322.1</v>
      </c>
      <c r="C167">
        <f t="shared" si="27"/>
        <v>1472.2094</v>
      </c>
      <c r="D167">
        <f t="shared" si="23"/>
        <v>0.32421875</v>
      </c>
      <c r="E167">
        <f t="shared" si="24"/>
        <v>1268.4535651085969</v>
      </c>
      <c r="F167">
        <f t="shared" si="25"/>
        <v>-150.10940000000005</v>
      </c>
      <c r="G167" t="s">
        <v>172</v>
      </c>
      <c r="H167">
        <v>181.60400000000004</v>
      </c>
      <c r="I167">
        <f t="shared" si="22"/>
        <v>-331.71340000000009</v>
      </c>
      <c r="J167">
        <f t="shared" si="30"/>
        <v>0.27229407760380525</v>
      </c>
      <c r="K167">
        <f t="shared" si="26"/>
        <v>10.700000000000045</v>
      </c>
      <c r="L167">
        <f t="shared" si="28"/>
        <v>1317.4250000000002</v>
      </c>
      <c r="M167">
        <f>AVERAGE(B167:B217)</f>
        <v>1429.5078431372549</v>
      </c>
      <c r="N167">
        <f t="shared" si="31"/>
        <v>5.0549999999998363</v>
      </c>
      <c r="O167">
        <v>-338.01339999999993</v>
      </c>
      <c r="P167">
        <f t="shared" si="29"/>
        <v>27.229407760380525</v>
      </c>
      <c r="V167" s="25">
        <v>2792.7</v>
      </c>
      <c r="W167" s="25"/>
      <c r="X167">
        <f>V167-W166</f>
        <v>-398.83125000000064</v>
      </c>
      <c r="Y167">
        <f>SUM(X166:X167)</f>
        <v>-828.76250000000118</v>
      </c>
      <c r="AA167">
        <f t="shared" si="32"/>
        <v>159066.36597656301</v>
      </c>
      <c r="AL167">
        <v>2792.7</v>
      </c>
      <c r="AN167">
        <f>AL167-AM166</f>
        <v>-69.512500000000273</v>
      </c>
      <c r="AO167">
        <f>SUM(AN166:AN167)</f>
        <v>-170.12500000000045</v>
      </c>
      <c r="AQ167">
        <f t="shared" si="33"/>
        <v>4831.9876562500376</v>
      </c>
      <c r="BB167">
        <v>2792.7</v>
      </c>
      <c r="BD167">
        <f>BB167-BC166</f>
        <v>1122.4499999999998</v>
      </c>
      <c r="BE167">
        <f>SUM(BD166:BD167)</f>
        <v>2213.7999999999997</v>
      </c>
      <c r="BG167">
        <f>POWER(BD167,2)</f>
        <v>1259894.0024999995</v>
      </c>
    </row>
    <row r="168" spans="1:64">
      <c r="A168" s="1">
        <v>167</v>
      </c>
      <c r="B168">
        <v>1332.8</v>
      </c>
      <c r="C168">
        <f t="shared" si="27"/>
        <v>1475.4603</v>
      </c>
      <c r="D168">
        <f t="shared" si="23"/>
        <v>0.326171875</v>
      </c>
      <c r="E168">
        <f t="shared" si="24"/>
        <v>1763.9432998766436</v>
      </c>
      <c r="F168">
        <f t="shared" si="25"/>
        <v>-142.66030000000001</v>
      </c>
      <c r="G168" t="s">
        <v>173</v>
      </c>
      <c r="H168">
        <v>174.28643333333338</v>
      </c>
      <c r="I168">
        <f t="shared" si="22"/>
        <v>-316.94673333333338</v>
      </c>
      <c r="J168">
        <f t="shared" si="30"/>
        <v>0.80282112845138398</v>
      </c>
      <c r="K168">
        <f t="shared" si="26"/>
        <v>-33.599999999999909</v>
      </c>
      <c r="L168">
        <f t="shared" si="28"/>
        <v>1321.6350000000002</v>
      </c>
      <c r="M168">
        <f>AVERAGE(B168:B217)</f>
        <v>1431.6559999999997</v>
      </c>
      <c r="N168">
        <f t="shared" si="31"/>
        <v>4.2100000000000364</v>
      </c>
      <c r="O168">
        <v>-331.71340000000009</v>
      </c>
      <c r="P168">
        <f t="shared" si="29"/>
        <v>80.2821128451384</v>
      </c>
      <c r="V168" s="25">
        <v>2835</v>
      </c>
      <c r="W168" s="25"/>
      <c r="X168">
        <f>V168-W166</f>
        <v>-356.53125000000045</v>
      </c>
      <c r="Y168">
        <f>SUM(X166:X168)</f>
        <v>-1185.2937500000016</v>
      </c>
      <c r="AA168">
        <f t="shared" si="32"/>
        <v>127114.53222656282</v>
      </c>
      <c r="AL168">
        <v>2835</v>
      </c>
      <c r="AN168">
        <f>AL168-AM166</f>
        <v>-27.212500000000091</v>
      </c>
      <c r="AO168">
        <f>SUM(AN166:AN168)</f>
        <v>-197.33750000000055</v>
      </c>
      <c r="AQ168">
        <f t="shared" si="33"/>
        <v>740.5201562500049</v>
      </c>
    </row>
    <row r="169" spans="1:64">
      <c r="A169" s="1">
        <v>168</v>
      </c>
      <c r="B169">
        <v>1299.2</v>
      </c>
      <c r="C169">
        <f t="shared" si="27"/>
        <v>1478.7112</v>
      </c>
      <c r="D169">
        <f t="shared" si="23"/>
        <v>0.328125</v>
      </c>
      <c r="E169">
        <f t="shared" si="24"/>
        <v>1269.1731438308534</v>
      </c>
      <c r="F169">
        <f t="shared" si="25"/>
        <v>-179.51119999999992</v>
      </c>
      <c r="G169" t="s">
        <v>174</v>
      </c>
      <c r="H169">
        <v>168.29108888888885</v>
      </c>
      <c r="I169">
        <f t="shared" si="22"/>
        <v>-347.80228888888877</v>
      </c>
      <c r="J169">
        <f t="shared" si="30"/>
        <v>-2.5862068965517171</v>
      </c>
      <c r="K169">
        <f t="shared" si="26"/>
        <v>9.9999999999909051E-2</v>
      </c>
      <c r="L169">
        <f t="shared" si="28"/>
        <v>1325.92</v>
      </c>
      <c r="M169">
        <f>AVERAGE(B169:B219)</f>
        <v>1439.6294117647058</v>
      </c>
      <c r="N169">
        <f t="shared" si="31"/>
        <v>4.2849999999998545</v>
      </c>
      <c r="O169">
        <v>-316.94673333333338</v>
      </c>
      <c r="P169">
        <f t="shared" si="29"/>
        <v>-258.6206896551717</v>
      </c>
      <c r="V169" s="25">
        <v>2887.6</v>
      </c>
      <c r="W169" s="25"/>
      <c r="X169">
        <f>V169-W166</f>
        <v>-303.93125000000055</v>
      </c>
      <c r="Y169">
        <f>SUM(X166:X169)</f>
        <v>-1489.2250000000022</v>
      </c>
      <c r="AA169">
        <f t="shared" si="32"/>
        <v>92374.204726562835</v>
      </c>
      <c r="AL169">
        <v>2887.6</v>
      </c>
      <c r="AN169">
        <f>AL169-AM166</f>
        <v>25.387499999999818</v>
      </c>
      <c r="AO169">
        <f>SUM(AN166:AN169)</f>
        <v>-171.95000000000073</v>
      </c>
      <c r="AQ169">
        <f t="shared" si="33"/>
        <v>644.5251562499908</v>
      </c>
      <c r="AZ169" t="s">
        <v>658</v>
      </c>
      <c r="BA169">
        <f>COUNT(B483:B484)</f>
        <v>2</v>
      </c>
      <c r="BB169" cm="1">
        <f t="array" ref="BB169:BB170">(B483:B484)</f>
        <v>2835</v>
      </c>
      <c r="BC169">
        <f>AVERAGE(B358:B359)</f>
        <v>1692.8</v>
      </c>
      <c r="BD169">
        <f>BB169-BC169</f>
        <v>1142.2</v>
      </c>
      <c r="BE169">
        <f>SUM(BD169)</f>
        <v>1142.2</v>
      </c>
      <c r="BF169">
        <f>MAX(BE169:BE170)-MIN(BE169:BE170)</f>
        <v>1194.8</v>
      </c>
      <c r="BG169">
        <f>POWER(BD169,2)</f>
        <v>1304620.8400000001</v>
      </c>
      <c r="BH169">
        <f>SQRT(SUM(BG169:BG170)/COUNT(BG169:BG170))</f>
        <v>1168.7959359956724</v>
      </c>
      <c r="BI169">
        <f>BF169/BH169</f>
        <v>1.022248592079656</v>
      </c>
      <c r="BJ169">
        <f>LOG(BI169)</f>
        <v>9.5565210826148109E-3</v>
      </c>
      <c r="BK169">
        <f>LOG(BA169)</f>
        <v>0.3010299956639812</v>
      </c>
    </row>
    <row r="170" spans="1:64">
      <c r="A170" s="1">
        <v>169</v>
      </c>
      <c r="B170">
        <v>1299.3</v>
      </c>
      <c r="C170">
        <f t="shared" si="27"/>
        <v>1481.9621</v>
      </c>
      <c r="D170">
        <f t="shared" si="23"/>
        <v>0.330078125</v>
      </c>
      <c r="E170">
        <f t="shared" si="24"/>
        <v>1910.8951755273551</v>
      </c>
      <c r="F170">
        <f t="shared" si="25"/>
        <v>-182.66210000000001</v>
      </c>
      <c r="G170" t="s">
        <v>175</v>
      </c>
      <c r="H170">
        <v>163.41796666666673</v>
      </c>
      <c r="I170">
        <f t="shared" si="22"/>
        <v>-346.08006666666677</v>
      </c>
      <c r="J170">
        <f t="shared" si="30"/>
        <v>7.696451935650662E-3</v>
      </c>
      <c r="K170">
        <f t="shared" si="26"/>
        <v>3.6000000000001364</v>
      </c>
      <c r="L170">
        <f t="shared" si="28"/>
        <v>1332.6200000000001</v>
      </c>
      <c r="M170">
        <f>AVERAGE(B170:B219)</f>
        <v>1442.4379999999996</v>
      </c>
      <c r="N170">
        <f t="shared" si="31"/>
        <v>6.7000000000000455</v>
      </c>
      <c r="O170">
        <v>-347.80228888888877</v>
      </c>
      <c r="P170">
        <f t="shared" si="29"/>
        <v>0.76964519356506622</v>
      </c>
      <c r="V170" s="25">
        <v>2888.9</v>
      </c>
      <c r="W170" s="25"/>
      <c r="X170">
        <f>V170-W166</f>
        <v>-302.63125000000036</v>
      </c>
      <c r="Y170">
        <f>SUM(X166:X170)</f>
        <v>-1791.8562500000025</v>
      </c>
      <c r="AA170">
        <f t="shared" si="32"/>
        <v>91585.673476562719</v>
      </c>
      <c r="AL170">
        <v>2888.9</v>
      </c>
      <c r="AN170">
        <f>AL170-AM166</f>
        <v>26.6875</v>
      </c>
      <c r="AO170">
        <f>SUM(AN166:AN170)</f>
        <v>-145.26250000000073</v>
      </c>
      <c r="AQ170">
        <f t="shared" si="33"/>
        <v>712.22265625</v>
      </c>
      <c r="BB170">
        <v>2887.6</v>
      </c>
      <c r="BD170">
        <f>BB170-BC169</f>
        <v>1194.8</v>
      </c>
      <c r="BE170">
        <f>SUM(BD169:BD170)</f>
        <v>2337</v>
      </c>
      <c r="BG170">
        <f>POWER(BD170,2)</f>
        <v>1427547.0399999998</v>
      </c>
    </row>
    <row r="171" spans="1:64">
      <c r="A171" s="1">
        <v>170</v>
      </c>
      <c r="B171">
        <v>1302.9000000000001</v>
      </c>
      <c r="C171">
        <f t="shared" si="27"/>
        <v>1485.213</v>
      </c>
      <c r="D171">
        <f t="shared" si="23"/>
        <v>0.33203125</v>
      </c>
      <c r="E171">
        <f t="shared" si="24"/>
        <v>1534.0229696673928</v>
      </c>
      <c r="F171">
        <f t="shared" si="25"/>
        <v>-182.31299999999987</v>
      </c>
      <c r="G171" t="s">
        <v>176</v>
      </c>
      <c r="H171">
        <v>168.63373333333334</v>
      </c>
      <c r="I171">
        <f t="shared" si="22"/>
        <v>-350.94673333333321</v>
      </c>
      <c r="J171">
        <f t="shared" si="30"/>
        <v>0.27630670043749606</v>
      </c>
      <c r="K171">
        <f t="shared" si="26"/>
        <v>9.3999999999998636</v>
      </c>
      <c r="L171">
        <f t="shared" si="28"/>
        <v>1338.9500000000003</v>
      </c>
      <c r="M171">
        <f>AVERAGE(B171:B221)</f>
        <v>1451.9411764705883</v>
      </c>
      <c r="N171">
        <f t="shared" si="31"/>
        <v>6.3300000000001546</v>
      </c>
      <c r="O171">
        <v>-346.08006666666677</v>
      </c>
      <c r="P171">
        <f t="shared" si="29"/>
        <v>27.630670043749607</v>
      </c>
      <c r="V171" s="25">
        <v>2940.5</v>
      </c>
      <c r="W171" s="25"/>
      <c r="X171">
        <f>V171-W166</f>
        <v>-251.03125000000045</v>
      </c>
      <c r="Y171">
        <f>SUM(X166:X171)</f>
        <v>-2042.887500000003</v>
      </c>
      <c r="AA171">
        <f t="shared" si="32"/>
        <v>63016.688476562726</v>
      </c>
      <c r="AL171">
        <v>2940.5</v>
      </c>
      <c r="AN171">
        <f>AL171-AM166</f>
        <v>78.287499999999909</v>
      </c>
      <c r="AO171">
        <f>SUM(AN166:AN171)</f>
        <v>-66.975000000000819</v>
      </c>
      <c r="AQ171">
        <f t="shared" si="33"/>
        <v>6128.9326562499855</v>
      </c>
    </row>
    <row r="172" spans="1:64">
      <c r="A172" s="1">
        <v>171</v>
      </c>
      <c r="B172">
        <v>1312.3</v>
      </c>
      <c r="C172">
        <f t="shared" si="27"/>
        <v>1488.4639</v>
      </c>
      <c r="D172">
        <f t="shared" si="23"/>
        <v>0.333984375</v>
      </c>
      <c r="E172">
        <f t="shared" si="24"/>
        <v>1577.6232326940949</v>
      </c>
      <c r="F172">
        <f t="shared" si="25"/>
        <v>-176.16390000000001</v>
      </c>
      <c r="G172" t="s">
        <v>177</v>
      </c>
      <c r="H172">
        <v>175.06061111111109</v>
      </c>
      <c r="I172">
        <f t="shared" si="22"/>
        <v>-351.2245111111111</v>
      </c>
      <c r="J172">
        <f t="shared" si="30"/>
        <v>0.71629962660975877</v>
      </c>
      <c r="K172">
        <f t="shared" si="26"/>
        <v>-7.7999999999999545</v>
      </c>
      <c r="L172">
        <f t="shared" si="28"/>
        <v>1346.68</v>
      </c>
      <c r="M172">
        <f>AVERAGE(B172:B221)</f>
        <v>1454.9219999999998</v>
      </c>
      <c r="N172">
        <f t="shared" si="31"/>
        <v>7.7299999999997908</v>
      </c>
      <c r="O172">
        <v>-350.94673333333321</v>
      </c>
      <c r="P172">
        <f t="shared" si="29"/>
        <v>71.629962660975877</v>
      </c>
      <c r="V172" s="25">
        <v>2848.5</v>
      </c>
      <c r="W172" s="25"/>
      <c r="X172">
        <f>V172-W166</f>
        <v>-343.03125000000045</v>
      </c>
      <c r="Y172">
        <f>SUM(X166:X172)</f>
        <v>-2385.9187500000035</v>
      </c>
      <c r="AA172">
        <f t="shared" si="32"/>
        <v>117670.43847656281</v>
      </c>
      <c r="AL172">
        <v>2848.5</v>
      </c>
      <c r="AN172">
        <f>AL172-AM166</f>
        <v>-13.712500000000091</v>
      </c>
      <c r="AO172">
        <f>SUM(AN166:AN172)</f>
        <v>-80.687500000000909</v>
      </c>
      <c r="AQ172">
        <f t="shared" si="33"/>
        <v>188.0326562500025</v>
      </c>
      <c r="AZ172" t="s">
        <v>659</v>
      </c>
      <c r="BA172">
        <f>COUNT(B485:B486)</f>
        <v>2</v>
      </c>
      <c r="BB172" cm="1">
        <f t="array" ref="BB172:BB173">(B485:B486)</f>
        <v>2888.9</v>
      </c>
      <c r="BC172">
        <f>AVERAGE(B360:B361)</f>
        <v>1664.65</v>
      </c>
      <c r="BD172">
        <f>BB172-BC172</f>
        <v>1224.25</v>
      </c>
      <c r="BE172">
        <f>SUM(BD172)</f>
        <v>1224.25</v>
      </c>
      <c r="BF172">
        <f>MAX(BE172:BE173)-MIN(BE172:BE173)</f>
        <v>1275.8499999999999</v>
      </c>
      <c r="BG172">
        <f>POWER(BD172,2)</f>
        <v>1498788.0625</v>
      </c>
      <c r="BH172">
        <f>SQRT(SUM(BG172:BG173)/COUNT(BG172:BG173))</f>
        <v>1250.3162170027229</v>
      </c>
      <c r="BI172">
        <f>BF172/BH172</f>
        <v>1.020421860206282</v>
      </c>
      <c r="BJ172">
        <f>LOG(BI172)</f>
        <v>8.7797538041476421E-3</v>
      </c>
      <c r="BK172">
        <f>LOG(BA172)</f>
        <v>0.3010299956639812</v>
      </c>
    </row>
    <row r="173" spans="1:64">
      <c r="A173" s="1">
        <v>172</v>
      </c>
      <c r="B173">
        <v>1304.5</v>
      </c>
      <c r="C173">
        <f t="shared" si="27"/>
        <v>1491.7148</v>
      </c>
      <c r="D173">
        <f t="shared" si="23"/>
        <v>0.3359375</v>
      </c>
      <c r="E173">
        <f t="shared" si="24"/>
        <v>1699.3241991448867</v>
      </c>
      <c r="F173">
        <f t="shared" si="25"/>
        <v>-187.21479999999997</v>
      </c>
      <c r="G173" t="s">
        <v>178</v>
      </c>
      <c r="H173">
        <v>175.60114444444446</v>
      </c>
      <c r="I173">
        <f t="shared" si="22"/>
        <v>-362.81594444444443</v>
      </c>
      <c r="J173">
        <f t="shared" si="30"/>
        <v>-0.59793024147182483</v>
      </c>
      <c r="K173">
        <f t="shared" si="26"/>
        <v>-2.7999999999999545</v>
      </c>
      <c r="L173">
        <f t="shared" si="28"/>
        <v>1356.49</v>
      </c>
      <c r="M173">
        <f>AVERAGE(B173:B223)</f>
        <v>1463.3215686274509</v>
      </c>
      <c r="N173">
        <f t="shared" si="31"/>
        <v>9.8099999999999454</v>
      </c>
      <c r="O173">
        <v>-351.2245111111111</v>
      </c>
      <c r="P173">
        <f t="shared" si="29"/>
        <v>-59.793024147182486</v>
      </c>
      <c r="V173" s="25">
        <v>2942.9</v>
      </c>
      <c r="W173" s="25"/>
      <c r="X173">
        <f>V173-W166</f>
        <v>-248.63125000000036</v>
      </c>
      <c r="Y173">
        <f>SUM(X166:X173)</f>
        <v>-2634.5500000000038</v>
      </c>
      <c r="AA173">
        <f t="shared" si="32"/>
        <v>61817.49847656268</v>
      </c>
      <c r="AL173">
        <v>2942.9</v>
      </c>
      <c r="AN173">
        <f>AL173-AM166</f>
        <v>80.6875</v>
      </c>
      <c r="AO173">
        <f>SUM(AN166:AN173)</f>
        <v>-9.0949470177292824E-13</v>
      </c>
      <c r="AQ173">
        <f t="shared" si="33"/>
        <v>6510.47265625</v>
      </c>
      <c r="BB173">
        <v>2940.5</v>
      </c>
      <c r="BD173">
        <f>BB173-BC172</f>
        <v>1275.8499999999999</v>
      </c>
      <c r="BE173">
        <f>SUM(BD172:BD173)</f>
        <v>2500.1</v>
      </c>
      <c r="BG173">
        <f>POWER(BD173,2)</f>
        <v>1627793.2224999997</v>
      </c>
    </row>
    <row r="174" spans="1:64">
      <c r="A174" s="1">
        <v>173</v>
      </c>
      <c r="B174">
        <v>1301.7</v>
      </c>
      <c r="C174">
        <f t="shared" si="27"/>
        <v>1494.9657</v>
      </c>
      <c r="D174">
        <f t="shared" si="23"/>
        <v>0.337890625</v>
      </c>
      <c r="E174">
        <f t="shared" si="24"/>
        <v>992.1332775725939</v>
      </c>
      <c r="F174">
        <f t="shared" si="25"/>
        <v>-193.26569999999992</v>
      </c>
      <c r="G174" t="s">
        <v>179</v>
      </c>
      <c r="H174">
        <v>183.85024444444448</v>
      </c>
      <c r="I174">
        <f t="shared" si="22"/>
        <v>-377.11594444444438</v>
      </c>
      <c r="J174">
        <f t="shared" si="30"/>
        <v>-0.21510332641929433</v>
      </c>
      <c r="K174">
        <f t="shared" si="26"/>
        <v>-0.5</v>
      </c>
      <c r="L174">
        <f t="shared" si="28"/>
        <v>1367.4449999999999</v>
      </c>
      <c r="M174">
        <f>AVERAGE(B174:B223)</f>
        <v>1466.4979999999998</v>
      </c>
      <c r="N174">
        <f t="shared" si="31"/>
        <v>10.954999999999927</v>
      </c>
      <c r="O174">
        <v>-362.81594444444443</v>
      </c>
      <c r="P174">
        <f t="shared" si="29"/>
        <v>-21.510332641929434</v>
      </c>
      <c r="V174" s="25">
        <v>3014.6</v>
      </c>
      <c r="W174" s="25"/>
      <c r="X174">
        <f>V174-W166</f>
        <v>-176.93125000000055</v>
      </c>
      <c r="Y174">
        <f>SUM(X166:X174)</f>
        <v>-2811.4812500000044</v>
      </c>
      <c r="AA174">
        <f t="shared" si="32"/>
        <v>31304.667226562695</v>
      </c>
    </row>
    <row r="175" spans="1:64">
      <c r="A175" s="1">
        <v>174</v>
      </c>
      <c r="B175">
        <v>1301.2</v>
      </c>
      <c r="C175">
        <f t="shared" si="27"/>
        <v>1498.2166</v>
      </c>
      <c r="D175">
        <f t="shared" si="23"/>
        <v>0.33984375</v>
      </c>
      <c r="E175">
        <f t="shared" si="24"/>
        <v>772.29212831814721</v>
      </c>
      <c r="F175">
        <f t="shared" si="25"/>
        <v>-197.01659999999993</v>
      </c>
      <c r="G175" t="s">
        <v>180</v>
      </c>
      <c r="H175">
        <v>187.5549</v>
      </c>
      <c r="I175">
        <f t="shared" si="22"/>
        <v>-384.5714999999999</v>
      </c>
      <c r="J175">
        <f t="shared" si="30"/>
        <v>-3.8426068244697201E-2</v>
      </c>
      <c r="K175">
        <f t="shared" si="26"/>
        <v>-19.200000000000045</v>
      </c>
      <c r="L175">
        <f t="shared" si="28"/>
        <v>1379.24</v>
      </c>
      <c r="M175">
        <f>AVERAGE(B175:B225)</f>
        <v>1473.83137254902</v>
      </c>
      <c r="N175">
        <f t="shared" si="31"/>
        <v>11.795000000000073</v>
      </c>
      <c r="O175">
        <v>-377.11594444444438</v>
      </c>
      <c r="P175">
        <f t="shared" si="29"/>
        <v>-3.84260682446972</v>
      </c>
      <c r="V175" s="25">
        <v>3034.5</v>
      </c>
      <c r="W175" s="25"/>
      <c r="X175">
        <f>V175-W166</f>
        <v>-157.03125000000045</v>
      </c>
      <c r="Y175">
        <f>SUM(X166:X175)</f>
        <v>-2968.5125000000048</v>
      </c>
      <c r="AA175">
        <f t="shared" si="32"/>
        <v>24658.813476562642</v>
      </c>
      <c r="AJ175" t="s">
        <v>618</v>
      </c>
      <c r="AK175">
        <f>COUNT(B489:B496)</f>
        <v>8</v>
      </c>
      <c r="AL175" cm="1">
        <f t="array" ref="AL175:AL182">(B489:B496)</f>
        <v>3014.6</v>
      </c>
      <c r="AM175">
        <f>AVERAGE(_xlfn.ANCHORARRAY(AL175))</f>
        <v>3162.1625000000004</v>
      </c>
      <c r="AN175">
        <f>AL175-AM175</f>
        <v>-147.56250000000045</v>
      </c>
      <c r="AO175">
        <f>AN175</f>
        <v>-147.56250000000045</v>
      </c>
      <c r="AP175">
        <f>MAX(AO175:AO182)-MIN(AO175:AO182)</f>
        <v>449.84999999999854</v>
      </c>
      <c r="AQ175">
        <f t="shared" ref="AQ175:AQ182" si="34">POWER(AN175,2)</f>
        <v>21774.691406250135</v>
      </c>
      <c r="AR175">
        <f>SQRT(SUM(AQ175:AQ182)/COUNT(AQ175:AQ182))</f>
        <v>117.57852628669063</v>
      </c>
      <c r="AS175">
        <f>AP175/AR175</f>
        <v>3.8259537196710007</v>
      </c>
      <c r="AT175">
        <f>LOG(AS175)</f>
        <v>0.58273971231619359</v>
      </c>
      <c r="AU175">
        <f>LOG(AK175)</f>
        <v>0.90308998699194354</v>
      </c>
      <c r="AZ175" t="s">
        <v>660</v>
      </c>
      <c r="BA175">
        <f>COUNT(B487:B488)</f>
        <v>2</v>
      </c>
      <c r="BB175" cm="1">
        <f t="array" ref="BB175:BB176">(B487:B488)</f>
        <v>2848.5</v>
      </c>
      <c r="BC175">
        <f>AVERAGE(B362:B363)</f>
        <v>1737.05</v>
      </c>
      <c r="BD175">
        <f>BB175-BC175</f>
        <v>1111.45</v>
      </c>
      <c r="BE175">
        <f>SUM(BD175)</f>
        <v>1111.45</v>
      </c>
      <c r="BF175">
        <f>MAX(BE175:BE176)-MIN(BE175:BE176)</f>
        <v>1205.8500000000001</v>
      </c>
      <c r="BG175">
        <f>POWER(BD175,2)</f>
        <v>1235321.1025</v>
      </c>
      <c r="BH175">
        <f>SQRT(SUM(BG175:BG176)/COUNT(BG175:BG176))</f>
        <v>1159.6109961965694</v>
      </c>
      <c r="BI175">
        <f>BF175/BH175</f>
        <v>1.0398745820409525</v>
      </c>
      <c r="BJ175">
        <f>LOG(BI175)</f>
        <v>1.6980962748691972E-2</v>
      </c>
      <c r="BK175">
        <f>LOG(BA175)</f>
        <v>0.3010299956639812</v>
      </c>
    </row>
    <row r="176" spans="1:64">
      <c r="A176" s="1">
        <v>175</v>
      </c>
      <c r="B176">
        <v>1282</v>
      </c>
      <c r="C176">
        <f t="shared" si="27"/>
        <v>1501.4675</v>
      </c>
      <c r="D176">
        <f t="shared" si="23"/>
        <v>0.341796875</v>
      </c>
      <c r="E176">
        <f t="shared" si="24"/>
        <v>1762.7271010631225</v>
      </c>
      <c r="F176">
        <f t="shared" si="25"/>
        <v>-219.46749999999997</v>
      </c>
      <c r="G176" t="s">
        <v>181</v>
      </c>
      <c r="H176">
        <v>181.60400000000004</v>
      </c>
      <c r="I176">
        <f t="shared" si="22"/>
        <v>-401.07150000000001</v>
      </c>
      <c r="J176">
        <f t="shared" si="30"/>
        <v>-1.4976599063962595</v>
      </c>
      <c r="K176">
        <f t="shared" si="26"/>
        <v>12.799999999999955</v>
      </c>
      <c r="L176">
        <f t="shared" si="28"/>
        <v>1390.65</v>
      </c>
      <c r="M176">
        <f>AVERAGE(B176:B225)</f>
        <v>1477.2840000000003</v>
      </c>
      <c r="N176">
        <f t="shared" si="31"/>
        <v>11.410000000000082</v>
      </c>
      <c r="O176">
        <v>-384.5714999999999</v>
      </c>
      <c r="P176">
        <f t="shared" si="29"/>
        <v>-149.76599063962595</v>
      </c>
      <c r="V176" s="25">
        <v>3114.3</v>
      </c>
      <c r="W176" s="25"/>
      <c r="X176">
        <f>V176-W166</f>
        <v>-77.231250000000273</v>
      </c>
      <c r="Y176">
        <f>SUM(X166:X176)</f>
        <v>-3045.7437500000051</v>
      </c>
      <c r="AA176">
        <f t="shared" si="32"/>
        <v>5964.6659765625418</v>
      </c>
      <c r="AL176">
        <v>3034.5</v>
      </c>
      <c r="AN176">
        <f>AL176-AM175</f>
        <v>-127.66250000000036</v>
      </c>
      <c r="AO176">
        <f>SUM(AN175:AN176)</f>
        <v>-275.22500000000082</v>
      </c>
      <c r="AQ176">
        <f t="shared" si="34"/>
        <v>16297.713906250094</v>
      </c>
      <c r="BB176">
        <v>2942.9</v>
      </c>
      <c r="BD176">
        <f>BB176-BC175</f>
        <v>1205.8500000000001</v>
      </c>
      <c r="BE176">
        <f>SUM(BD175:BD176)</f>
        <v>2317.3000000000002</v>
      </c>
      <c r="BG176">
        <f>POWER(BD176,2)</f>
        <v>1454074.2225000004</v>
      </c>
    </row>
    <row r="177" spans="1:63">
      <c r="A177" s="1">
        <v>176</v>
      </c>
      <c r="B177">
        <v>1294.8</v>
      </c>
      <c r="C177">
        <f t="shared" si="27"/>
        <v>1504.7184</v>
      </c>
      <c r="D177">
        <f t="shared" si="23"/>
        <v>0.34375</v>
      </c>
      <c r="E177">
        <f t="shared" si="24"/>
        <v>1146.6645054646513</v>
      </c>
      <c r="F177">
        <f t="shared" si="25"/>
        <v>-209.91840000000002</v>
      </c>
      <c r="G177" t="s">
        <v>182</v>
      </c>
      <c r="H177">
        <v>174.28643333333338</v>
      </c>
      <c r="I177">
        <f t="shared" si="22"/>
        <v>-384.2048333333334</v>
      </c>
      <c r="J177">
        <f t="shared" si="30"/>
        <v>0.98856966326845497</v>
      </c>
      <c r="K177">
        <f t="shared" si="26"/>
        <v>-7.5999999999999091</v>
      </c>
      <c r="L177">
        <f t="shared" si="28"/>
        <v>1402.325</v>
      </c>
      <c r="M177">
        <f>AVERAGE(B177:B227)</f>
        <v>1489.8000000000004</v>
      </c>
      <c r="N177">
        <f t="shared" si="31"/>
        <v>11.674999999999955</v>
      </c>
      <c r="O177">
        <v>-401.07150000000001</v>
      </c>
      <c r="P177">
        <f t="shared" si="29"/>
        <v>98.856966326845495</v>
      </c>
      <c r="V177" s="25">
        <v>3035.4</v>
      </c>
      <c r="W177" s="25"/>
      <c r="X177">
        <f>V177-W166</f>
        <v>-156.13125000000036</v>
      </c>
      <c r="Y177">
        <f>SUM(X166:X177)</f>
        <v>-3201.8750000000055</v>
      </c>
      <c r="AA177">
        <f t="shared" si="32"/>
        <v>24376.967226562614</v>
      </c>
      <c r="AL177">
        <v>3114.3</v>
      </c>
      <c r="AN177">
        <f>AL177-AM175</f>
        <v>-47.862500000000182</v>
      </c>
      <c r="AO177">
        <f>SUM(AN175:AN177)</f>
        <v>-323.087500000001</v>
      </c>
      <c r="AQ177">
        <f t="shared" si="34"/>
        <v>2290.8189062500173</v>
      </c>
    </row>
    <row r="178" spans="1:63">
      <c r="A178" s="1">
        <v>177</v>
      </c>
      <c r="B178">
        <v>1287.2</v>
      </c>
      <c r="C178">
        <f t="shared" si="27"/>
        <v>1507.9693</v>
      </c>
      <c r="D178">
        <f t="shared" si="23"/>
        <v>0.345703125</v>
      </c>
      <c r="E178">
        <f t="shared" si="24"/>
        <v>1241.5340930513221</v>
      </c>
      <c r="F178">
        <f t="shared" si="25"/>
        <v>-220.76929999999993</v>
      </c>
      <c r="G178" t="s">
        <v>183</v>
      </c>
      <c r="H178">
        <v>168.29108888888885</v>
      </c>
      <c r="I178">
        <f t="shared" si="22"/>
        <v>-389.06038888888878</v>
      </c>
      <c r="J178">
        <f t="shared" si="30"/>
        <v>-0.59042883778743849</v>
      </c>
      <c r="K178">
        <f t="shared" si="26"/>
        <v>6.0999999999999091</v>
      </c>
      <c r="L178">
        <f t="shared" si="28"/>
        <v>1412.56</v>
      </c>
      <c r="M178">
        <f>AVERAGE(B178:B227)</f>
        <v>1493.7000000000003</v>
      </c>
      <c r="N178">
        <f t="shared" si="31"/>
        <v>10.2349999999999</v>
      </c>
      <c r="O178">
        <v>-384.2048333333334</v>
      </c>
      <c r="P178">
        <f t="shared" si="29"/>
        <v>-59.04288377874385</v>
      </c>
      <c r="V178" s="25">
        <v>3230</v>
      </c>
      <c r="W178" s="25"/>
      <c r="X178">
        <f>V178-W166</f>
        <v>38.468749999999545</v>
      </c>
      <c r="Y178">
        <f>SUM(X166:X178)</f>
        <v>-3163.4062500000059</v>
      </c>
      <c r="AA178">
        <f t="shared" si="32"/>
        <v>1479.844726562465</v>
      </c>
      <c r="AL178">
        <v>3035.4</v>
      </c>
      <c r="AN178">
        <f>AL178-AM175</f>
        <v>-126.76250000000027</v>
      </c>
      <c r="AO178">
        <f>SUM(AN175:AN178)</f>
        <v>-449.85000000000127</v>
      </c>
      <c r="AQ178">
        <f t="shared" si="34"/>
        <v>16068.73140625007</v>
      </c>
      <c r="AZ178" t="s">
        <v>661</v>
      </c>
      <c r="BA178">
        <f>COUNT(B489:B490)</f>
        <v>2</v>
      </c>
      <c r="BB178" cm="1">
        <f t="array" ref="BB178:BB179">(B489:B490)</f>
        <v>3014.6</v>
      </c>
      <c r="BC178">
        <f>AVERAGE(B364:B365)</f>
        <v>1768.9</v>
      </c>
      <c r="BD178">
        <f>BB178-BC178</f>
        <v>1245.6999999999998</v>
      </c>
      <c r="BE178">
        <f>SUM(BD178)</f>
        <v>1245.6999999999998</v>
      </c>
      <c r="BF178">
        <f>MAX(BE178:BE179)-MIN(BE178:BE179)</f>
        <v>1265.5999999999999</v>
      </c>
      <c r="BG178">
        <f>POWER(BD178,2)</f>
        <v>1551768.4899999995</v>
      </c>
      <c r="BH178">
        <f>SQRT(SUM(BG178:BG179)/COUNT(BG178:BG179))</f>
        <v>1255.6894221900573</v>
      </c>
      <c r="BI178">
        <f>BF178/BH178</f>
        <v>1.0078925390584701</v>
      </c>
      <c r="BJ178">
        <f>LOG(BI178)</f>
        <v>3.4142303418611044E-3</v>
      </c>
      <c r="BK178">
        <f>LOG(BA178)</f>
        <v>0.3010299956639812</v>
      </c>
    </row>
    <row r="179" spans="1:63">
      <c r="A179" s="1">
        <v>178</v>
      </c>
      <c r="B179">
        <v>1293.3</v>
      </c>
      <c r="C179">
        <f t="shared" si="27"/>
        <v>1511.2202</v>
      </c>
      <c r="D179">
        <f t="shared" si="23"/>
        <v>0.34765625</v>
      </c>
      <c r="E179">
        <f t="shared" si="24"/>
        <v>742.63090475438901</v>
      </c>
      <c r="F179">
        <f t="shared" si="25"/>
        <v>-217.92020000000002</v>
      </c>
      <c r="G179" t="s">
        <v>184</v>
      </c>
      <c r="H179">
        <v>163.41796666666673</v>
      </c>
      <c r="I179">
        <f t="shared" si="22"/>
        <v>-381.33816666666678</v>
      </c>
      <c r="J179">
        <f t="shared" si="30"/>
        <v>0.47166164076393025</v>
      </c>
      <c r="K179">
        <f t="shared" si="26"/>
        <v>-11.899999999999864</v>
      </c>
      <c r="L179">
        <f t="shared" si="28"/>
        <v>1423.9549999999999</v>
      </c>
      <c r="M179">
        <f>AVERAGE(B179:B229)</f>
        <v>1506.6196078431376</v>
      </c>
      <c r="N179">
        <f t="shared" si="31"/>
        <v>11.394999999999982</v>
      </c>
      <c r="O179">
        <v>-389.06038888888878</v>
      </c>
      <c r="P179">
        <f t="shared" si="29"/>
        <v>47.166164076393024</v>
      </c>
      <c r="V179" s="25">
        <v>3313.3</v>
      </c>
      <c r="W179" s="25"/>
      <c r="X179">
        <f>V179-W166</f>
        <v>121.76874999999973</v>
      </c>
      <c r="Y179">
        <f>SUM(X166:X179)</f>
        <v>-3041.6375000000062</v>
      </c>
      <c r="AA179">
        <f t="shared" si="32"/>
        <v>14827.628476562433</v>
      </c>
      <c r="AL179">
        <v>3230</v>
      </c>
      <c r="AN179">
        <f>AL179-AM175</f>
        <v>67.837499999999636</v>
      </c>
      <c r="AO179">
        <f>SUM(AN175:AN179)</f>
        <v>-382.01250000000164</v>
      </c>
      <c r="AQ179">
        <f t="shared" si="34"/>
        <v>4601.9264062499506</v>
      </c>
      <c r="BB179">
        <v>3034.5</v>
      </c>
      <c r="BD179">
        <f>BB179-BC178</f>
        <v>1265.5999999999999</v>
      </c>
      <c r="BE179">
        <f>SUM(BD178:BD179)</f>
        <v>2511.2999999999997</v>
      </c>
      <c r="BG179">
        <f>POWER(BD179,2)</f>
        <v>1601743.3599999999</v>
      </c>
    </row>
    <row r="180" spans="1:63">
      <c r="A180" s="1">
        <v>179</v>
      </c>
      <c r="B180">
        <v>1281.4000000000001</v>
      </c>
      <c r="C180">
        <f t="shared" si="27"/>
        <v>1514.4711</v>
      </c>
      <c r="D180">
        <f t="shared" si="23"/>
        <v>0.349609375</v>
      </c>
      <c r="E180">
        <f t="shared" si="24"/>
        <v>1234.4814554607647</v>
      </c>
      <c r="F180">
        <f t="shared" si="25"/>
        <v>-233.07109999999989</v>
      </c>
      <c r="G180" t="s">
        <v>185</v>
      </c>
      <c r="H180">
        <v>168.63373333333334</v>
      </c>
      <c r="I180">
        <f t="shared" si="22"/>
        <v>-401.70483333333323</v>
      </c>
      <c r="J180">
        <f t="shared" si="30"/>
        <v>-0.92867176525673978</v>
      </c>
      <c r="K180">
        <f t="shared" si="26"/>
        <v>7.7999999999999545</v>
      </c>
      <c r="L180">
        <f t="shared" si="28"/>
        <v>1434.9449999999997</v>
      </c>
      <c r="M180">
        <f>AVERAGE(B180:B229)</f>
        <v>1510.886</v>
      </c>
      <c r="N180">
        <f t="shared" si="31"/>
        <v>10.989999999999782</v>
      </c>
      <c r="O180">
        <v>-381.33816666666678</v>
      </c>
      <c r="P180">
        <f t="shared" si="29"/>
        <v>-92.867176525673983</v>
      </c>
      <c r="V180" s="25">
        <v>3283.5</v>
      </c>
      <c r="W180" s="25"/>
      <c r="X180">
        <f>V180-W166</f>
        <v>91.968749999999545</v>
      </c>
      <c r="Y180">
        <f>SUM(X166:X180)</f>
        <v>-2949.6687500000066</v>
      </c>
      <c r="AA180">
        <f t="shared" si="32"/>
        <v>8458.2509765624163</v>
      </c>
      <c r="AL180">
        <v>3313.3</v>
      </c>
      <c r="AN180">
        <f>AL180-AM175</f>
        <v>151.13749999999982</v>
      </c>
      <c r="AO180">
        <f>SUM(AN175:AN180)</f>
        <v>-230.87500000000182</v>
      </c>
      <c r="AQ180">
        <f t="shared" si="34"/>
        <v>22842.543906249946</v>
      </c>
    </row>
    <row r="181" spans="1:63">
      <c r="A181" s="1">
        <v>180</v>
      </c>
      <c r="B181">
        <v>1289.2</v>
      </c>
      <c r="C181">
        <f t="shared" si="27"/>
        <v>1517.722</v>
      </c>
      <c r="D181">
        <f t="shared" si="23"/>
        <v>0.3515625</v>
      </c>
      <c r="E181">
        <f t="shared" si="24"/>
        <v>1094.9074596180124</v>
      </c>
      <c r="F181">
        <f t="shared" si="25"/>
        <v>-228.52199999999993</v>
      </c>
      <c r="G181" t="s">
        <v>186</v>
      </c>
      <c r="H181">
        <v>175.06061111111109</v>
      </c>
      <c r="I181">
        <f t="shared" si="22"/>
        <v>-403.58261111111102</v>
      </c>
      <c r="J181">
        <f t="shared" si="30"/>
        <v>0.60502637294445816</v>
      </c>
      <c r="K181">
        <f t="shared" si="26"/>
        <v>27.700000000000045</v>
      </c>
      <c r="L181">
        <f t="shared" si="28"/>
        <v>1446.86</v>
      </c>
      <c r="M181">
        <f>AVERAGE(B181:B231)</f>
        <v>1523.4647058823532</v>
      </c>
      <c r="N181">
        <f t="shared" si="31"/>
        <v>11.915000000000191</v>
      </c>
      <c r="O181">
        <v>-401.70483333333323</v>
      </c>
      <c r="P181">
        <f t="shared" si="29"/>
        <v>60.502637294445819</v>
      </c>
      <c r="V181" s="25">
        <v>3271.7</v>
      </c>
      <c r="W181" s="25"/>
      <c r="X181">
        <f>V181-W166</f>
        <v>80.168749999999363</v>
      </c>
      <c r="Y181">
        <f>SUM(X166:X181)</f>
        <v>-2869.5000000000073</v>
      </c>
      <c r="AA181">
        <f t="shared" si="32"/>
        <v>6427.0284765623983</v>
      </c>
      <c r="AL181">
        <v>3283.5</v>
      </c>
      <c r="AN181">
        <f>AL181-AM175</f>
        <v>121.33749999999964</v>
      </c>
      <c r="AO181">
        <f>SUM(AN175:AN181)</f>
        <v>-109.53750000000218</v>
      </c>
      <c r="AQ181">
        <f t="shared" si="34"/>
        <v>14722.788906249913</v>
      </c>
      <c r="AZ181" t="s">
        <v>662</v>
      </c>
      <c r="BA181">
        <f>COUNT(B491:B492)</f>
        <v>2</v>
      </c>
      <c r="BB181" cm="1">
        <f t="array" ref="BB181:BB182">(B491:B492)</f>
        <v>3114.3</v>
      </c>
      <c r="BC181">
        <f>AVERAGE(B366:B367)</f>
        <v>1825.3000000000002</v>
      </c>
      <c r="BD181">
        <f>BB181-BC181</f>
        <v>1289</v>
      </c>
      <c r="BE181">
        <f>SUM(BD181)</f>
        <v>1289</v>
      </c>
      <c r="BF181">
        <f>MAX(BE181:BE182)-MIN(BE181:BE182)</f>
        <v>1210.0999999999999</v>
      </c>
      <c r="BG181">
        <f>POWER(BD181,2)</f>
        <v>1661521</v>
      </c>
      <c r="BH181">
        <f>SQRT(SUM(BG181:BG182)/COUNT(BG181:BG182))</f>
        <v>1250.1725900850649</v>
      </c>
      <c r="BI181">
        <f>BF181/BH181</f>
        <v>0.96794635364518877</v>
      </c>
      <c r="BJ181">
        <f>LOG(BI181)</f>
        <v>-1.4148711866695647E-2</v>
      </c>
      <c r="BK181">
        <f>LOG(BA181)</f>
        <v>0.3010299956639812</v>
      </c>
    </row>
    <row r="182" spans="1:63">
      <c r="A182" s="1">
        <v>181</v>
      </c>
      <c r="B182">
        <v>1316.9</v>
      </c>
      <c r="C182">
        <f t="shared" si="27"/>
        <v>1520.9729</v>
      </c>
      <c r="D182">
        <f t="shared" si="23"/>
        <v>0.353515625</v>
      </c>
      <c r="E182">
        <f t="shared" si="24"/>
        <v>1359.7008301975186</v>
      </c>
      <c r="F182">
        <f t="shared" si="25"/>
        <v>-204.07289999999989</v>
      </c>
      <c r="G182" t="s">
        <v>187</v>
      </c>
      <c r="H182">
        <v>175.60114444444446</v>
      </c>
      <c r="I182">
        <f t="shared" si="22"/>
        <v>-379.67404444444435</v>
      </c>
      <c r="J182">
        <f t="shared" si="30"/>
        <v>2.103424709545147</v>
      </c>
      <c r="K182">
        <f t="shared" si="26"/>
        <v>34.899999999999864</v>
      </c>
      <c r="L182">
        <f t="shared" si="28"/>
        <v>1457.1749999999997</v>
      </c>
      <c r="M182">
        <f>AVERAGE(B182:B231)</f>
        <v>1528.15</v>
      </c>
      <c r="N182">
        <f t="shared" si="31"/>
        <v>10.314999999999827</v>
      </c>
      <c r="O182">
        <v>-403.58261111111102</v>
      </c>
      <c r="P182">
        <f t="shared" si="29"/>
        <v>210.34247095451471</v>
      </c>
      <c r="V182" s="25">
        <v>3357.3</v>
      </c>
      <c r="W182" s="25"/>
      <c r="X182">
        <f>V182-W166</f>
        <v>165.76874999999973</v>
      </c>
      <c r="Y182">
        <f>SUM(X166:X182)</f>
        <v>-2703.7312500000075</v>
      </c>
      <c r="AA182">
        <f t="shared" si="32"/>
        <v>27479.278476562409</v>
      </c>
      <c r="AL182">
        <v>3271.7</v>
      </c>
      <c r="AN182">
        <f>AL182-AM175</f>
        <v>109.53749999999945</v>
      </c>
      <c r="AO182">
        <f>SUM(AN175:AN182)</f>
        <v>-2.7284841053187847E-12</v>
      </c>
      <c r="AQ182">
        <f t="shared" si="34"/>
        <v>11998.463906249881</v>
      </c>
      <c r="BB182">
        <v>3035.4</v>
      </c>
      <c r="BD182">
        <f>BB182-BC181</f>
        <v>1210.0999999999999</v>
      </c>
      <c r="BE182">
        <f>SUM(BD181:BD182)</f>
        <v>2499.1</v>
      </c>
      <c r="BG182">
        <f>POWER(BD182,2)</f>
        <v>1464342.0099999998</v>
      </c>
    </row>
    <row r="183" spans="1:63">
      <c r="A183" s="1">
        <v>182</v>
      </c>
      <c r="B183">
        <v>1351.8</v>
      </c>
      <c r="C183">
        <f t="shared" si="27"/>
        <v>1524.2238</v>
      </c>
      <c r="D183">
        <f t="shared" si="23"/>
        <v>0.35546875</v>
      </c>
      <c r="E183">
        <f t="shared" si="24"/>
        <v>1989.4980044126771</v>
      </c>
      <c r="F183">
        <f t="shared" si="25"/>
        <v>-172.42380000000003</v>
      </c>
      <c r="G183" t="s">
        <v>188</v>
      </c>
      <c r="H183">
        <v>183.85024444444448</v>
      </c>
      <c r="I183">
        <f t="shared" si="22"/>
        <v>-356.27404444444448</v>
      </c>
      <c r="J183">
        <f t="shared" si="30"/>
        <v>2.5817428613700155</v>
      </c>
      <c r="K183">
        <f t="shared" si="26"/>
        <v>-1.3999999999998636</v>
      </c>
      <c r="L183">
        <f t="shared" si="28"/>
        <v>1466.3799999999999</v>
      </c>
      <c r="M183">
        <f>AVERAGE(B183:B233)</f>
        <v>1541.4137254901962</v>
      </c>
      <c r="N183">
        <f t="shared" si="31"/>
        <v>9.2050000000001546</v>
      </c>
      <c r="O183">
        <v>-379.67404444444435</v>
      </c>
      <c r="P183">
        <f t="shared" si="29"/>
        <v>258.17428613700156</v>
      </c>
      <c r="V183" s="25">
        <v>3200.2</v>
      </c>
      <c r="W183" s="25"/>
      <c r="X183">
        <f>V183-W166</f>
        <v>8.6687499999993634</v>
      </c>
      <c r="Y183">
        <f>SUM(X166:X183)</f>
        <v>-2695.0625000000082</v>
      </c>
      <c r="AA183">
        <f t="shared" si="32"/>
        <v>75.147226562488967</v>
      </c>
    </row>
    <row r="184" spans="1:63">
      <c r="A184" s="1">
        <v>183</v>
      </c>
      <c r="B184">
        <v>1350.4</v>
      </c>
      <c r="C184">
        <f t="shared" si="27"/>
        <v>1527.4747</v>
      </c>
      <c r="D184">
        <f t="shared" si="23"/>
        <v>0.357421875</v>
      </c>
      <c r="E184">
        <f t="shared" si="24"/>
        <v>1893.6087174631964</v>
      </c>
      <c r="F184">
        <f t="shared" si="25"/>
        <v>-177.07469999999989</v>
      </c>
      <c r="G184" t="s">
        <v>189</v>
      </c>
      <c r="H184">
        <v>187.5549</v>
      </c>
      <c r="I184">
        <f t="shared" si="22"/>
        <v>-364.62959999999987</v>
      </c>
      <c r="J184">
        <f t="shared" si="30"/>
        <v>-0.10367298578198041</v>
      </c>
      <c r="K184">
        <f t="shared" si="26"/>
        <v>55.5</v>
      </c>
      <c r="L184">
        <f t="shared" si="28"/>
        <v>1474.405</v>
      </c>
      <c r="M184">
        <f>AVERAGE(B184:B233)</f>
        <v>1545.2059999999997</v>
      </c>
      <c r="N184">
        <f t="shared" si="31"/>
        <v>8.0250000000000909</v>
      </c>
      <c r="O184">
        <v>-356.27404444444448</v>
      </c>
      <c r="P184">
        <f t="shared" si="29"/>
        <v>-10.36729857819804</v>
      </c>
      <c r="V184" s="25">
        <v>3379.3</v>
      </c>
      <c r="W184" s="25"/>
      <c r="X184">
        <f>V184-W166</f>
        <v>187.76874999999973</v>
      </c>
      <c r="Y184">
        <f>SUM(X166:X184)</f>
        <v>-2507.2937500000085</v>
      </c>
      <c r="AA184">
        <f t="shared" si="32"/>
        <v>35257.103476562399</v>
      </c>
      <c r="AJ184" t="s">
        <v>617</v>
      </c>
      <c r="AK184">
        <f>COUNT(B497:B504)</f>
        <v>8</v>
      </c>
      <c r="AL184" cm="1">
        <f t="array" ref="AL184:AL191">(B497:B504)</f>
        <v>3357.3</v>
      </c>
      <c r="AM184">
        <f>AVERAGE(_xlfn.ANCHORARRAY(AL184))</f>
        <v>3335.1749999999997</v>
      </c>
      <c r="AN184">
        <f>AL184-AM184</f>
        <v>22.125000000000455</v>
      </c>
      <c r="AO184">
        <f>SUM(AN184)</f>
        <v>22.125000000000455</v>
      </c>
      <c r="AP184">
        <f>MAX(AO184:AO191)-MIN(AO184:AO191)</f>
        <v>160.42500000000155</v>
      </c>
      <c r="AQ184">
        <f t="shared" ref="AQ184:AQ191" si="35">POWER(AN184,2)</f>
        <v>489.51562500002012</v>
      </c>
      <c r="AR184">
        <f>SQRT(SUM(AQ184:AQ191)/COUNT(AQ184:AQ191))</f>
        <v>66.355552706612343</v>
      </c>
      <c r="AS184">
        <f>AP184/AR184</f>
        <v>2.4176575050065878</v>
      </c>
      <c r="AT184">
        <f>LOG(AS184)</f>
        <v>0.38339477699579011</v>
      </c>
      <c r="AU184">
        <f>LOG(AK184)</f>
        <v>0.90308998699194354</v>
      </c>
      <c r="AZ184" t="s">
        <v>663</v>
      </c>
      <c r="BA184">
        <f>COUNT(B493:B494)</f>
        <v>2</v>
      </c>
      <c r="BB184" cm="1">
        <f t="array" ref="BB184:BB185">(B493:B494)</f>
        <v>3230</v>
      </c>
      <c r="BC184">
        <f>AVERAGE(B368:B369)</f>
        <v>1817.6999999999998</v>
      </c>
      <c r="BD184">
        <f>BB184-BC184</f>
        <v>1412.3000000000002</v>
      </c>
      <c r="BE184">
        <f>SUM(BD184)</f>
        <v>1412.3000000000002</v>
      </c>
      <c r="BF184">
        <f>MAX(BE184:BE185)-MIN(BE184:BE185)</f>
        <v>1495.6000000000004</v>
      </c>
      <c r="BG184">
        <f>POWER(BD184,2)</f>
        <v>1994591.2900000005</v>
      </c>
      <c r="BH184">
        <f>SQRT(SUM(BG184:BG185)/COUNT(BG184:BG185))</f>
        <v>1454.5464327411487</v>
      </c>
      <c r="BI184">
        <f>BF184/BH184</f>
        <v>1.0282243085093439</v>
      </c>
      <c r="BJ184">
        <f>LOG(BI184)</f>
        <v>1.2087866917398483E-2</v>
      </c>
      <c r="BK184">
        <f>LOG(BA184)</f>
        <v>0.3010299956639812</v>
      </c>
    </row>
    <row r="185" spans="1:63">
      <c r="A185" s="1">
        <v>184</v>
      </c>
      <c r="B185">
        <v>1405.9</v>
      </c>
      <c r="C185">
        <f t="shared" si="27"/>
        <v>1530.7256</v>
      </c>
      <c r="D185">
        <f t="shared" si="23"/>
        <v>0.359375</v>
      </c>
      <c r="E185">
        <f t="shared" si="24"/>
        <v>1918.2489375612824</v>
      </c>
      <c r="F185">
        <f t="shared" si="25"/>
        <v>-124.82559999999989</v>
      </c>
      <c r="G185" t="s">
        <v>190</v>
      </c>
      <c r="H185">
        <v>181.60400000000004</v>
      </c>
      <c r="I185">
        <f t="shared" si="22"/>
        <v>-306.42959999999994</v>
      </c>
      <c r="J185">
        <f t="shared" si="30"/>
        <v>3.9476491926879573</v>
      </c>
      <c r="K185">
        <f t="shared" si="26"/>
        <v>13.699999999999818</v>
      </c>
      <c r="L185">
        <f t="shared" si="28"/>
        <v>1482.81</v>
      </c>
      <c r="M185">
        <f>AVERAGE(B185:B235)</f>
        <v>1556.1705882352937</v>
      </c>
      <c r="N185">
        <f t="shared" si="31"/>
        <v>8.4049999999999727</v>
      </c>
      <c r="O185">
        <v>-364.62959999999987</v>
      </c>
      <c r="P185">
        <f t="shared" si="29"/>
        <v>394.76491926879572</v>
      </c>
      <c r="V185" s="25">
        <v>3315.4</v>
      </c>
      <c r="W185" s="25"/>
      <c r="X185">
        <f>V185-W166</f>
        <v>123.86874999999964</v>
      </c>
      <c r="Y185">
        <f>SUM(X166:X185)</f>
        <v>-2383.4250000000088</v>
      </c>
      <c r="AA185">
        <f t="shared" si="32"/>
        <v>15343.46722656241</v>
      </c>
      <c r="AL185">
        <v>3200.2</v>
      </c>
      <c r="AN185">
        <f>AL185-AM184</f>
        <v>-134.97499999999991</v>
      </c>
      <c r="AO185">
        <f>SUM(AN184:AN185)</f>
        <v>-112.84999999999945</v>
      </c>
      <c r="AQ185">
        <f t="shared" si="35"/>
        <v>18218.250624999975</v>
      </c>
      <c r="BB185">
        <v>3313.3</v>
      </c>
      <c r="BD185">
        <f>BB185-BC184</f>
        <v>1495.6000000000004</v>
      </c>
      <c r="BE185">
        <f>SUM(BD184:BD185)</f>
        <v>2907.9000000000005</v>
      </c>
      <c r="BG185">
        <f>POWER(BD185,2)</f>
        <v>2236819.3600000013</v>
      </c>
    </row>
    <row r="186" spans="1:63">
      <c r="A186" s="1">
        <v>185</v>
      </c>
      <c r="B186">
        <v>1419.6</v>
      </c>
      <c r="C186">
        <f t="shared" si="27"/>
        <v>1533.9765</v>
      </c>
      <c r="D186">
        <f t="shared" si="23"/>
        <v>0.361328125</v>
      </c>
      <c r="E186">
        <f t="shared" si="24"/>
        <v>1507.8298810018323</v>
      </c>
      <c r="F186">
        <f t="shared" si="25"/>
        <v>-114.37650000000008</v>
      </c>
      <c r="G186" t="s">
        <v>191</v>
      </c>
      <c r="H186">
        <v>174.28643333333338</v>
      </c>
      <c r="I186">
        <f t="shared" si="22"/>
        <v>-288.66293333333346</v>
      </c>
      <c r="J186">
        <f t="shared" si="30"/>
        <v>0.96506058044518306</v>
      </c>
      <c r="K186">
        <f t="shared" si="26"/>
        <v>-13.299999999999955</v>
      </c>
      <c r="L186">
        <f t="shared" si="28"/>
        <v>1486.0049999999997</v>
      </c>
      <c r="M186">
        <f>AVERAGE(B186:B235)</f>
        <v>1559.1759999999997</v>
      </c>
      <c r="N186">
        <f t="shared" si="31"/>
        <v>3.194999999999709</v>
      </c>
      <c r="O186">
        <v>-306.42959999999994</v>
      </c>
      <c r="P186">
        <f t="shared" si="29"/>
        <v>96.506058044518312</v>
      </c>
      <c r="V186" s="25">
        <v>3332.1</v>
      </c>
      <c r="W186" s="25"/>
      <c r="X186">
        <f>V186-W166</f>
        <v>140.56874999999945</v>
      </c>
      <c r="Y186">
        <f>SUM(X166:X186)</f>
        <v>-2242.8562500000094</v>
      </c>
      <c r="AA186">
        <f t="shared" si="32"/>
        <v>19759.573476562346</v>
      </c>
      <c r="AL186">
        <v>3379.3</v>
      </c>
      <c r="AN186">
        <f>AL186-AM184</f>
        <v>44.125000000000455</v>
      </c>
      <c r="AO186">
        <f>SUM(AN184:AN186)</f>
        <v>-68.724999999999</v>
      </c>
      <c r="AQ186">
        <f t="shared" si="35"/>
        <v>1947.01562500004</v>
      </c>
    </row>
    <row r="187" spans="1:63">
      <c r="A187" s="1">
        <v>186</v>
      </c>
      <c r="B187">
        <v>1406.3</v>
      </c>
      <c r="C187">
        <f t="shared" si="27"/>
        <v>1537.2274</v>
      </c>
      <c r="D187">
        <f t="shared" si="23"/>
        <v>0.36328125</v>
      </c>
      <c r="E187">
        <f t="shared" si="24"/>
        <v>2287.4793879814033</v>
      </c>
      <c r="F187">
        <f t="shared" si="25"/>
        <v>-130.92740000000003</v>
      </c>
      <c r="G187" t="s">
        <v>192</v>
      </c>
      <c r="H187">
        <v>168.29108888888885</v>
      </c>
      <c r="I187">
        <f t="shared" si="22"/>
        <v>-299.21848888888888</v>
      </c>
      <c r="J187">
        <f t="shared" si="30"/>
        <v>-0.94574415131906098</v>
      </c>
      <c r="K187">
        <f t="shared" si="26"/>
        <v>12.200000000000045</v>
      </c>
      <c r="L187">
        <f t="shared" si="28"/>
        <v>1488.7949999999998</v>
      </c>
      <c r="M187">
        <f>AVERAGE(B187:B237)</f>
        <v>1569.5372549019608</v>
      </c>
      <c r="N187">
        <f t="shared" si="31"/>
        <v>2.790000000000191</v>
      </c>
      <c r="O187">
        <v>-288.66293333333346</v>
      </c>
      <c r="P187">
        <f t="shared" si="29"/>
        <v>-94.574415131906093</v>
      </c>
      <c r="V187" s="25">
        <v>3438.1</v>
      </c>
      <c r="W187" s="25"/>
      <c r="X187">
        <f>V187-W166</f>
        <v>246.56874999999945</v>
      </c>
      <c r="Y187">
        <f>SUM(X166:X187)</f>
        <v>-1996.2875000000099</v>
      </c>
      <c r="AA187">
        <f t="shared" si="32"/>
        <v>60796.14847656223</v>
      </c>
      <c r="AL187">
        <v>3315.4</v>
      </c>
      <c r="AN187">
        <f>AL187-AM184</f>
        <v>-19.774999999999636</v>
      </c>
      <c r="AO187">
        <f>SUM(AN184:AN187)</f>
        <v>-88.499999999998636</v>
      </c>
      <c r="AQ187">
        <f t="shared" si="35"/>
        <v>391.05062499998559</v>
      </c>
      <c r="AZ187" t="s">
        <v>664</v>
      </c>
      <c r="BA187">
        <f>COUNT(B495:B496)</f>
        <v>2</v>
      </c>
      <c r="BB187" cm="1">
        <f t="array" ref="BB187:BB188">(B495:B496)</f>
        <v>3283.5</v>
      </c>
      <c r="BC187">
        <f>AVERAGE(B370:B371)</f>
        <v>1834.2</v>
      </c>
      <c r="BD187">
        <f>BB187-BC187</f>
        <v>1449.3</v>
      </c>
      <c r="BE187">
        <f>SUM(BD187)</f>
        <v>1449.3</v>
      </c>
      <c r="BF187">
        <f>MAX(BE187:BE188)-MIN(BE187:BE188)</f>
        <v>1437.4999999999998</v>
      </c>
      <c r="BG187">
        <f>POWER(BD187,2)</f>
        <v>2100470.4899999998</v>
      </c>
      <c r="BH187">
        <f>SQRT(SUM(BG187:BG188)/COUNT(BG187:BG188))</f>
        <v>1443.4120582841199</v>
      </c>
      <c r="BI187">
        <f>BF187/BH187</f>
        <v>0.99590410912103078</v>
      </c>
      <c r="BJ187">
        <f>LOG(BI187)</f>
        <v>-1.78247571729597E-3</v>
      </c>
      <c r="BK187">
        <f>LOG(BA187)</f>
        <v>0.3010299956639812</v>
      </c>
    </row>
    <row r="188" spans="1:63">
      <c r="A188" s="1">
        <v>187</v>
      </c>
      <c r="B188">
        <v>1418.5</v>
      </c>
      <c r="C188">
        <f t="shared" si="27"/>
        <v>1540.4783</v>
      </c>
      <c r="D188">
        <f t="shared" si="23"/>
        <v>0.365234375</v>
      </c>
      <c r="E188">
        <f t="shared" si="24"/>
        <v>1315.1136404660813</v>
      </c>
      <c r="F188">
        <f t="shared" si="25"/>
        <v>-121.97829999999999</v>
      </c>
      <c r="G188" t="s">
        <v>193</v>
      </c>
      <c r="H188">
        <v>163.41796666666673</v>
      </c>
      <c r="I188">
        <f t="shared" si="22"/>
        <v>-285.39626666666675</v>
      </c>
      <c r="J188">
        <f t="shared" si="30"/>
        <v>0.86006344730349282</v>
      </c>
      <c r="K188">
        <f t="shared" si="26"/>
        <v>14.700000000000045</v>
      </c>
      <c r="L188">
        <f t="shared" si="28"/>
        <v>1492.0050000000001</v>
      </c>
      <c r="M188">
        <f>AVERAGE(B188:B237)</f>
        <v>1572.8019999999999</v>
      </c>
      <c r="N188">
        <f t="shared" si="31"/>
        <v>3.2100000000002638</v>
      </c>
      <c r="O188">
        <v>-299.21848888888888</v>
      </c>
      <c r="P188">
        <f t="shared" si="29"/>
        <v>86.006344730349284</v>
      </c>
      <c r="V188" s="25">
        <v>3371.4</v>
      </c>
      <c r="W188" s="25"/>
      <c r="X188">
        <f>V188-W166</f>
        <v>179.86874999999964</v>
      </c>
      <c r="Y188">
        <f>SUM(X166:X188)</f>
        <v>-1816.4187500000103</v>
      </c>
      <c r="AA188">
        <f t="shared" si="32"/>
        <v>32352.76722656237</v>
      </c>
      <c r="AL188">
        <v>3332.1</v>
      </c>
      <c r="AN188">
        <f>AL188-AM184</f>
        <v>-3.0749999999998181</v>
      </c>
      <c r="AO188">
        <f>SUM(AN184:AN188)</f>
        <v>-91.574999999998454</v>
      </c>
      <c r="AQ188">
        <f t="shared" si="35"/>
        <v>9.4556249999988822</v>
      </c>
      <c r="BB188">
        <v>3271.7</v>
      </c>
      <c r="BD188">
        <f>BB188-BC187</f>
        <v>1437.4999999999998</v>
      </c>
      <c r="BE188">
        <f>SUM(BD187:BD188)</f>
        <v>2886.7999999999997</v>
      </c>
      <c r="BG188">
        <f>POWER(BD188,2)</f>
        <v>2066406.2499999993</v>
      </c>
    </row>
    <row r="189" spans="1:63">
      <c r="A189" s="1">
        <v>188</v>
      </c>
      <c r="B189">
        <v>1433.2</v>
      </c>
      <c r="C189">
        <f t="shared" si="27"/>
        <v>1543.7292</v>
      </c>
      <c r="D189">
        <f t="shared" si="23"/>
        <v>0.3671875</v>
      </c>
      <c r="E189">
        <f t="shared" si="24"/>
        <v>1849.5508684063557</v>
      </c>
      <c r="F189">
        <f t="shared" si="25"/>
        <v>-110.52919999999995</v>
      </c>
      <c r="G189" t="s">
        <v>194</v>
      </c>
      <c r="H189">
        <v>168.63373333333334</v>
      </c>
      <c r="I189">
        <f t="shared" si="22"/>
        <v>-279.16293333333329</v>
      </c>
      <c r="J189">
        <f t="shared" si="30"/>
        <v>1.0256768071448537</v>
      </c>
      <c r="K189">
        <f t="shared" si="26"/>
        <v>-7.2999999999999545</v>
      </c>
      <c r="L189">
        <f t="shared" si="28"/>
        <v>1494.9850000000001</v>
      </c>
      <c r="M189">
        <f>AVERAGE(B189:B239)</f>
        <v>1584.556862745098</v>
      </c>
      <c r="N189">
        <f t="shared" si="31"/>
        <v>2.9800000000000182</v>
      </c>
      <c r="O189">
        <v>-285.39626666666675</v>
      </c>
      <c r="P189">
        <f t="shared" si="29"/>
        <v>102.56768071448536</v>
      </c>
      <c r="V189" s="25">
        <v>3287.6</v>
      </c>
      <c r="W189" s="25"/>
      <c r="X189">
        <f>V189-W166</f>
        <v>96.068749999999454</v>
      </c>
      <c r="Y189">
        <f>SUM(X166:X189)</f>
        <v>-1720.3500000000108</v>
      </c>
      <c r="AA189">
        <f t="shared" si="32"/>
        <v>9229.2047265623951</v>
      </c>
      <c r="AL189">
        <v>3438.1</v>
      </c>
      <c r="AN189">
        <f>AL189-AM184</f>
        <v>102.92500000000018</v>
      </c>
      <c r="AO189">
        <f>SUM(AN184:AN189)</f>
        <v>11.350000000001728</v>
      </c>
      <c r="AQ189">
        <f t="shared" si="35"/>
        <v>10593.555625000037</v>
      </c>
    </row>
    <row r="190" spans="1:63">
      <c r="A190" s="1">
        <v>189</v>
      </c>
      <c r="B190">
        <v>1425.9</v>
      </c>
      <c r="C190">
        <f t="shared" si="27"/>
        <v>1546.9801</v>
      </c>
      <c r="D190">
        <f t="shared" si="23"/>
        <v>0.369140625</v>
      </c>
      <c r="E190">
        <f t="shared" si="24"/>
        <v>1966.431422633565</v>
      </c>
      <c r="F190">
        <f t="shared" si="25"/>
        <v>-121.0800999999999</v>
      </c>
      <c r="G190" t="s">
        <v>195</v>
      </c>
      <c r="H190">
        <v>175.06061111111109</v>
      </c>
      <c r="I190">
        <f t="shared" si="22"/>
        <v>-296.14071111111099</v>
      </c>
      <c r="J190">
        <f t="shared" si="30"/>
        <v>-0.51195736026368988</v>
      </c>
      <c r="K190">
        <f t="shared" si="26"/>
        <v>31.599999999999909</v>
      </c>
      <c r="L190">
        <f t="shared" si="28"/>
        <v>1496.8600000000001</v>
      </c>
      <c r="M190">
        <f>AVERAGE(B190:B239)</f>
        <v>1587.5839999999998</v>
      </c>
      <c r="N190">
        <f t="shared" si="31"/>
        <v>1.875</v>
      </c>
      <c r="O190">
        <v>-279.16293333333329</v>
      </c>
      <c r="P190">
        <f t="shared" si="29"/>
        <v>-51.195736026368991</v>
      </c>
      <c r="V190" s="25">
        <v>3398.8</v>
      </c>
      <c r="W190" s="25"/>
      <c r="X190">
        <f>V190-W166</f>
        <v>207.26874999999973</v>
      </c>
      <c r="Y190">
        <f>SUM(X166:X190)</f>
        <v>-1513.0812500000111</v>
      </c>
      <c r="AA190">
        <f t="shared" si="32"/>
        <v>42960.334726562389</v>
      </c>
      <c r="AL190">
        <v>3371.4</v>
      </c>
      <c r="AN190">
        <f>AL190-AM184</f>
        <v>36.225000000000364</v>
      </c>
      <c r="AO190">
        <f>SUM(AN184:AN190)</f>
        <v>47.575000000002092</v>
      </c>
      <c r="AQ190">
        <f t="shared" si="35"/>
        <v>1312.2506250000263</v>
      </c>
      <c r="AZ190" t="s">
        <v>665</v>
      </c>
      <c r="BA190">
        <f>COUNT(B497:B498)</f>
        <v>2</v>
      </c>
      <c r="BB190" cm="1">
        <f t="array" ref="BB190:BB191">(B497:B498)</f>
        <v>3357.3</v>
      </c>
      <c r="BC190">
        <f>AVERAGE(B372:B373)</f>
        <v>1877.8000000000002</v>
      </c>
      <c r="BD190">
        <f>BB190-BC190</f>
        <v>1479.5</v>
      </c>
      <c r="BE190">
        <f>SUM(BD190)</f>
        <v>1479.5</v>
      </c>
      <c r="BF190">
        <f>MAX(BE190:BE191)-MIN(BE190:BE191)</f>
        <v>1322.3999999999996</v>
      </c>
      <c r="BG190">
        <f>POWER(BD190,2)</f>
        <v>2188920.25</v>
      </c>
      <c r="BH190">
        <f>SQRT(SUM(BG190:BG191)/COUNT(BG190:BG191))</f>
        <v>1403.1503857391763</v>
      </c>
      <c r="BI190">
        <f>BF190/BH190</f>
        <v>0.94245065492631608</v>
      </c>
      <c r="BJ190">
        <f>LOG(BI190)</f>
        <v>-2.5741379429041308E-2</v>
      </c>
      <c r="BK190">
        <f>LOG(BA190)</f>
        <v>0.3010299956639812</v>
      </c>
    </row>
    <row r="191" spans="1:63">
      <c r="A191" s="1">
        <v>190</v>
      </c>
      <c r="B191">
        <v>1457.5</v>
      </c>
      <c r="C191">
        <f t="shared" si="27"/>
        <v>1550.231</v>
      </c>
      <c r="D191">
        <f t="shared" si="23"/>
        <v>0.37109375</v>
      </c>
      <c r="E191">
        <f t="shared" si="24"/>
        <v>1610.4428315510602</v>
      </c>
      <c r="F191">
        <f t="shared" si="25"/>
        <v>-92.730999999999995</v>
      </c>
      <c r="G191" t="s">
        <v>196</v>
      </c>
      <c r="H191">
        <v>175.60114444444446</v>
      </c>
      <c r="I191">
        <f t="shared" si="22"/>
        <v>-268.33214444444445</v>
      </c>
      <c r="J191">
        <f t="shared" si="30"/>
        <v>2.1680960548885015</v>
      </c>
      <c r="K191">
        <f t="shared" si="26"/>
        <v>51</v>
      </c>
      <c r="L191">
        <f t="shared" si="28"/>
        <v>1499.91</v>
      </c>
      <c r="M191">
        <f>AVERAGE(B191:B241)</f>
        <v>1599.427450980392</v>
      </c>
      <c r="N191">
        <f t="shared" si="31"/>
        <v>3.0499999999999545</v>
      </c>
      <c r="O191">
        <v>-296.14071111111099</v>
      </c>
      <c r="P191">
        <f t="shared" si="29"/>
        <v>216.80960548885017</v>
      </c>
      <c r="V191" s="25">
        <v>3406.5</v>
      </c>
      <c r="W191" s="25"/>
      <c r="X191">
        <f>V191-W166</f>
        <v>214.96874999999955</v>
      </c>
      <c r="Y191">
        <f>SUM(X166:X191)</f>
        <v>-1298.1125000000116</v>
      </c>
      <c r="AA191">
        <f t="shared" si="32"/>
        <v>46211.563476562304</v>
      </c>
      <c r="AL191">
        <v>3287.6</v>
      </c>
      <c r="AN191">
        <f>AL191-AM184</f>
        <v>-47.574999999999818</v>
      </c>
      <c r="AO191">
        <f>SUM(AN184:AN191)</f>
        <v>2.2737367544323206E-12</v>
      </c>
      <c r="AQ191">
        <f t="shared" si="35"/>
        <v>2263.3806249999825</v>
      </c>
      <c r="BB191">
        <v>3200.2</v>
      </c>
      <c r="BD191">
        <f>BB191-BC190</f>
        <v>1322.3999999999996</v>
      </c>
      <c r="BE191">
        <f>SUM(BD190:BD191)</f>
        <v>2801.8999999999996</v>
      </c>
      <c r="BG191">
        <f>POWER(BD191,2)</f>
        <v>1748741.7599999991</v>
      </c>
    </row>
    <row r="192" spans="1:63">
      <c r="A192" s="1">
        <v>191</v>
      </c>
      <c r="B192">
        <v>1508.5</v>
      </c>
      <c r="C192">
        <f t="shared" si="27"/>
        <v>1553.4819</v>
      </c>
      <c r="D192">
        <f t="shared" si="23"/>
        <v>0.373046875</v>
      </c>
      <c r="E192">
        <f t="shared" si="24"/>
        <v>1587.4758071543388</v>
      </c>
      <c r="F192">
        <f t="shared" si="25"/>
        <v>-44.981899999999996</v>
      </c>
      <c r="G192" t="s">
        <v>197</v>
      </c>
      <c r="H192">
        <v>183.85024444444448</v>
      </c>
      <c r="I192">
        <f t="shared" si="22"/>
        <v>-228.83214444444448</v>
      </c>
      <c r="J192">
        <f t="shared" si="30"/>
        <v>3.3808418959231021</v>
      </c>
      <c r="K192">
        <f t="shared" si="26"/>
        <v>15.099999999999909</v>
      </c>
      <c r="L192">
        <f t="shared" si="28"/>
        <v>1501.365</v>
      </c>
      <c r="M192">
        <f>AVERAGE(B192:B241)</f>
        <v>1602.2659999999998</v>
      </c>
      <c r="N192">
        <f t="shared" si="31"/>
        <v>1.4549999999999272</v>
      </c>
      <c r="O192">
        <v>-268.33214444444445</v>
      </c>
      <c r="P192">
        <f t="shared" si="29"/>
        <v>338.08418959231022</v>
      </c>
      <c r="V192" s="25">
        <v>3400.9</v>
      </c>
      <c r="W192" s="25"/>
      <c r="X192">
        <f>V192-W166</f>
        <v>209.36874999999964</v>
      </c>
      <c r="Y192">
        <f>SUM(X166:X192)</f>
        <v>-1088.7437500000119</v>
      </c>
      <c r="AA192">
        <f t="shared" si="32"/>
        <v>43835.273476562346</v>
      </c>
    </row>
    <row r="193" spans="1:63">
      <c r="A193" s="1">
        <v>192</v>
      </c>
      <c r="B193">
        <v>1523.6</v>
      </c>
      <c r="C193">
        <f t="shared" si="27"/>
        <v>1556.7328</v>
      </c>
      <c r="D193">
        <f t="shared" si="23"/>
        <v>0.375</v>
      </c>
      <c r="E193">
        <f t="shared" si="24"/>
        <v>1598.4984182522273</v>
      </c>
      <c r="F193">
        <f t="shared" si="25"/>
        <v>-33.132800000000088</v>
      </c>
      <c r="G193" t="s">
        <v>198</v>
      </c>
      <c r="H193">
        <v>187.5549</v>
      </c>
      <c r="I193">
        <f t="shared" si="22"/>
        <v>-220.68770000000009</v>
      </c>
      <c r="J193">
        <f t="shared" si="30"/>
        <v>0.99107377264373264</v>
      </c>
      <c r="K193">
        <f t="shared" si="26"/>
        <v>14</v>
      </c>
      <c r="L193">
        <f t="shared" si="28"/>
        <v>1502.145</v>
      </c>
      <c r="M193">
        <f>AVERAGE(B193:B243)</f>
        <v>1614.427450980392</v>
      </c>
      <c r="N193">
        <f t="shared" si="31"/>
        <v>0.77999999999997272</v>
      </c>
      <c r="O193">
        <v>-228.83214444444448</v>
      </c>
      <c r="P193">
        <f t="shared" si="29"/>
        <v>99.10737726437327</v>
      </c>
      <c r="V193" s="25">
        <v>3379.6</v>
      </c>
      <c r="W193" s="25"/>
      <c r="X193">
        <f>V193-W166</f>
        <v>188.06874999999945</v>
      </c>
      <c r="Y193">
        <f>SUM(X166:X193)</f>
        <v>-900.67500000001246</v>
      </c>
      <c r="AA193">
        <f t="shared" si="32"/>
        <v>35369.854726562298</v>
      </c>
      <c r="AJ193" t="s">
        <v>616</v>
      </c>
      <c r="AK193">
        <f>COUNT(B505:B512)</f>
        <v>8</v>
      </c>
      <c r="AL193" cm="1">
        <f t="array" ref="AL193:AL200">(B505:B512)</f>
        <v>3398.8</v>
      </c>
      <c r="AM193">
        <f>AVERAGE(_xlfn.ANCHORARRAY(AL193))</f>
        <v>3406.5750000000003</v>
      </c>
      <c r="AN193">
        <f>AL193-AM193</f>
        <v>-7.7750000000000909</v>
      </c>
      <c r="AO193">
        <f>AN193</f>
        <v>-7.7750000000000909</v>
      </c>
      <c r="AP193">
        <f>MAX(AO193:AO200)-MIN(AO193:AO200)</f>
        <v>84.724999999999909</v>
      </c>
      <c r="AQ193">
        <f t="shared" ref="AQ193:AQ200" si="36">POWER(AN193,2)</f>
        <v>60.450625000001416</v>
      </c>
      <c r="AR193">
        <f>SQRT(SUM(AQ193:AQ200)/COUNT(AQ193:AQ200))</f>
        <v>34.260390759592966</v>
      </c>
      <c r="AS193">
        <f>AP193/AR193</f>
        <v>2.4729723777676638</v>
      </c>
      <c r="AT193">
        <f>LOG(AS193)</f>
        <v>0.39321926547165809</v>
      </c>
      <c r="AU193">
        <f>LOG(AK193)</f>
        <v>0.90308998699194354</v>
      </c>
      <c r="AZ193" t="s">
        <v>666</v>
      </c>
      <c r="BA193">
        <f>COUNT(B499:B500)</f>
        <v>2</v>
      </c>
      <c r="BB193" cm="1">
        <f t="array" ref="BB193:BB194">(B499:B500)</f>
        <v>3379.3</v>
      </c>
      <c r="BC193">
        <f>AVERAGE(B374:B375)</f>
        <v>1941.7</v>
      </c>
      <c r="BD193">
        <f>BB193-BC193</f>
        <v>1437.6000000000001</v>
      </c>
      <c r="BE193">
        <f>SUM(BD193)</f>
        <v>1437.6000000000001</v>
      </c>
      <c r="BF193">
        <f>MAX(BE193:BE194)-MIN(BE193:BE194)</f>
        <v>1373.7</v>
      </c>
      <c r="BG193">
        <f>POWER(BD193,2)</f>
        <v>2066693.7600000005</v>
      </c>
      <c r="BH193">
        <f>SQRT(SUM(BG193:BG194)/COUNT(BG193:BG194))</f>
        <v>1406.0130600389175</v>
      </c>
      <c r="BI193">
        <f>BF193/BH193</f>
        <v>0.97701795171232408</v>
      </c>
      <c r="BJ193">
        <f>LOG(BI193)</f>
        <v>-1.0097456488005018E-2</v>
      </c>
      <c r="BK193">
        <f>LOG(BA193)</f>
        <v>0.3010299956639812</v>
      </c>
    </row>
    <row r="194" spans="1:63">
      <c r="A194" s="1">
        <v>193</v>
      </c>
      <c r="B194">
        <v>1537.6</v>
      </c>
      <c r="C194">
        <f t="shared" si="27"/>
        <v>1559.9837</v>
      </c>
      <c r="D194">
        <f t="shared" si="23"/>
        <v>0.376953125</v>
      </c>
      <c r="E194">
        <f t="shared" si="24"/>
        <v>1681.7758446407925</v>
      </c>
      <c r="F194">
        <f t="shared" si="25"/>
        <v>-22.38370000000009</v>
      </c>
      <c r="G194" t="s">
        <v>199</v>
      </c>
      <c r="H194">
        <v>181.60400000000004</v>
      </c>
      <c r="I194">
        <f t="shared" ref="I194:I257" si="37">B194-C194-H194</f>
        <v>-203.98770000000013</v>
      </c>
      <c r="J194">
        <f t="shared" si="30"/>
        <v>0.91050988553590018</v>
      </c>
      <c r="K194">
        <f t="shared" si="26"/>
        <v>-8.1999999999998181</v>
      </c>
      <c r="L194">
        <f t="shared" si="28"/>
        <v>1503.9</v>
      </c>
      <c r="M194">
        <f>AVERAGE(B194:B243)</f>
        <v>1616.2439999999997</v>
      </c>
      <c r="N194">
        <f t="shared" si="31"/>
        <v>1.7550000000001091</v>
      </c>
      <c r="O194">
        <v>-220.68770000000009</v>
      </c>
      <c r="P194">
        <f t="shared" si="29"/>
        <v>91.050988553590017</v>
      </c>
      <c r="V194" s="25">
        <v>3399.8</v>
      </c>
      <c r="W194" s="25"/>
      <c r="X194">
        <f>V194-W166</f>
        <v>208.26874999999973</v>
      </c>
      <c r="Y194">
        <f>SUM(X166:X194)</f>
        <v>-692.40625000001273</v>
      </c>
      <c r="AA194">
        <f t="shared" si="32"/>
        <v>43375.872226562387</v>
      </c>
      <c r="AL194">
        <v>3406.5</v>
      </c>
      <c r="AN194">
        <f>AL194-AM193</f>
        <v>-7.5000000000272848E-2</v>
      </c>
      <c r="AO194">
        <f>SUM(AN193:AN194)</f>
        <v>-7.8500000000003638</v>
      </c>
      <c r="AQ194">
        <f t="shared" si="36"/>
        <v>5.6250000000409271E-3</v>
      </c>
      <c r="BB194">
        <v>3315.4</v>
      </c>
      <c r="BD194">
        <f>BB194-BC193</f>
        <v>1373.7</v>
      </c>
      <c r="BE194">
        <f>SUM(BD193:BD194)</f>
        <v>2811.3</v>
      </c>
      <c r="BG194">
        <f>POWER(BD194,2)</f>
        <v>1887051.6900000002</v>
      </c>
    </row>
    <row r="195" spans="1:63">
      <c r="A195" s="1">
        <v>194</v>
      </c>
      <c r="B195">
        <v>1529.4</v>
      </c>
      <c r="C195">
        <f t="shared" si="27"/>
        <v>1563.2346</v>
      </c>
      <c r="D195">
        <f t="shared" ref="D195:D258" si="38">A195/512</f>
        <v>0.37890625</v>
      </c>
      <c r="E195">
        <f t="shared" ref="E195:E258" si="39">IMABS(G195)</f>
        <v>1719.89461242683</v>
      </c>
      <c r="F195">
        <f t="shared" ref="F195:F258" si="40">B195-C195</f>
        <v>-33.834599999999909</v>
      </c>
      <c r="G195" t="s">
        <v>200</v>
      </c>
      <c r="H195">
        <v>174.28643333333338</v>
      </c>
      <c r="I195">
        <f t="shared" si="37"/>
        <v>-208.12103333333329</v>
      </c>
      <c r="J195">
        <f t="shared" si="30"/>
        <v>-0.53615797044591451</v>
      </c>
      <c r="K195">
        <f t="shared" ref="K195:K258" si="41">B196-B195</f>
        <v>-13.900000000000091</v>
      </c>
      <c r="L195">
        <f t="shared" si="28"/>
        <v>1505.3400000000001</v>
      </c>
      <c r="M195">
        <f>AVERAGE(B195:B245)</f>
        <v>1633.1078431372546</v>
      </c>
      <c r="N195">
        <f t="shared" si="31"/>
        <v>1.4400000000000546</v>
      </c>
      <c r="O195">
        <v>-203.98770000000013</v>
      </c>
      <c r="P195">
        <f t="shared" si="29"/>
        <v>-53.615797044591453</v>
      </c>
      <c r="V195" s="25">
        <v>3491.3</v>
      </c>
      <c r="W195" s="25"/>
      <c r="X195">
        <f>V195-W166</f>
        <v>299.76874999999973</v>
      </c>
      <c r="Y195">
        <f>SUM(X166:X195)</f>
        <v>-392.63750000001301</v>
      </c>
      <c r="AA195">
        <f t="shared" si="32"/>
        <v>89861.303476562331</v>
      </c>
      <c r="AL195">
        <v>3400.9</v>
      </c>
      <c r="AN195">
        <f>AL195-AM193</f>
        <v>-5.6750000000001819</v>
      </c>
      <c r="AO195">
        <f>SUM(AN193:AN195)</f>
        <v>-13.525000000000546</v>
      </c>
      <c r="AQ195">
        <f t="shared" si="36"/>
        <v>32.205625000002065</v>
      </c>
    </row>
    <row r="196" spans="1:63">
      <c r="A196" s="1">
        <v>195</v>
      </c>
      <c r="B196">
        <v>1515.5</v>
      </c>
      <c r="C196">
        <f t="shared" ref="C196:C259" si="42">3.2509*A196+932.56</f>
        <v>1566.4855</v>
      </c>
      <c r="D196">
        <f t="shared" si="38"/>
        <v>0.380859375</v>
      </c>
      <c r="E196">
        <f t="shared" si="39"/>
        <v>2216.5558325961656</v>
      </c>
      <c r="F196">
        <f t="shared" si="40"/>
        <v>-50.985500000000002</v>
      </c>
      <c r="G196" t="s">
        <v>201</v>
      </c>
      <c r="H196">
        <v>168.29108888888885</v>
      </c>
      <c r="I196">
        <f t="shared" si="37"/>
        <v>-219.27658888888885</v>
      </c>
      <c r="J196">
        <f t="shared" si="30"/>
        <v>-0.91718904651930644</v>
      </c>
      <c r="K196">
        <f t="shared" si="41"/>
        <v>-16</v>
      </c>
      <c r="L196">
        <f t="shared" ref="L196:L259" si="43">AVERAGE(B196:B215)</f>
        <v>1507.1950000000002</v>
      </c>
      <c r="M196">
        <f>AVERAGE(B196:B245)</f>
        <v>1635.1819999999996</v>
      </c>
      <c r="N196">
        <f t="shared" si="31"/>
        <v>1.8550000000000182</v>
      </c>
      <c r="O196">
        <v>-208.12103333333329</v>
      </c>
      <c r="P196">
        <f t="shared" ref="P196:P259" si="44">J196*100</f>
        <v>-91.718904651930643</v>
      </c>
      <c r="V196" s="25">
        <v>3369.9</v>
      </c>
      <c r="W196" s="25"/>
      <c r="X196">
        <f>V196-W166</f>
        <v>178.36874999999964</v>
      </c>
      <c r="Y196">
        <f>SUM(X166:X196)</f>
        <v>-214.26875000001337</v>
      </c>
      <c r="AA196">
        <f t="shared" si="32"/>
        <v>31815.410976562369</v>
      </c>
      <c r="AL196">
        <v>3379.6</v>
      </c>
      <c r="AN196">
        <f>AL196-AM193</f>
        <v>-26.975000000000364</v>
      </c>
      <c r="AO196">
        <f>SUM(AN193:AN196)</f>
        <v>-40.500000000000909</v>
      </c>
      <c r="AQ196">
        <f t="shared" si="36"/>
        <v>727.65062500001966</v>
      </c>
      <c r="AZ196" t="s">
        <v>667</v>
      </c>
      <c r="BA196">
        <f>COUNT(B501:B502)</f>
        <v>2</v>
      </c>
      <c r="BB196" cm="1">
        <f t="array" ref="BB196:BB197">(B501:B502)</f>
        <v>3332.1</v>
      </c>
      <c r="BC196">
        <f>AVERAGE(B376:B377)</f>
        <v>1919.4499999999998</v>
      </c>
      <c r="BD196">
        <f>BB196-BC196</f>
        <v>1412.65</v>
      </c>
      <c r="BE196">
        <f>BD196</f>
        <v>1412.65</v>
      </c>
      <c r="BF196">
        <f>MAX(BE196:BE197)-MIN(BE196:BE197)</f>
        <v>1518.65</v>
      </c>
      <c r="BG196">
        <f>POWER(BD196,2)</f>
        <v>1995580.0225000002</v>
      </c>
      <c r="BH196">
        <f>SQRT(SUM(BG196:BG197)/COUNT(BG196:BG197))</f>
        <v>1466.6079648290474</v>
      </c>
      <c r="BI196">
        <f>BF196/BH196</f>
        <v>1.0354846260343464</v>
      </c>
      <c r="BJ196">
        <f>LOG(BI196)</f>
        <v>1.5143655254566613E-2</v>
      </c>
      <c r="BK196">
        <f>LOG(BA196)</f>
        <v>0.3010299956639812</v>
      </c>
    </row>
    <row r="197" spans="1:63">
      <c r="A197" s="1">
        <v>196</v>
      </c>
      <c r="B197">
        <v>1499.5</v>
      </c>
      <c r="C197">
        <f t="shared" si="42"/>
        <v>1569.7364</v>
      </c>
      <c r="D197">
        <f t="shared" si="38"/>
        <v>0.3828125</v>
      </c>
      <c r="E197">
        <f t="shared" si="39"/>
        <v>1691.34525609243</v>
      </c>
      <c r="F197">
        <f t="shared" si="40"/>
        <v>-70.236400000000003</v>
      </c>
      <c r="G197" t="s">
        <v>202</v>
      </c>
      <c r="H197">
        <v>163.41796666666673</v>
      </c>
      <c r="I197">
        <f t="shared" si="37"/>
        <v>-233.65436666666673</v>
      </c>
      <c r="J197">
        <f t="shared" ref="J197:J260" si="45">((B197-B196)/B197)*100</f>
        <v>-1.0670223407802599</v>
      </c>
      <c r="K197">
        <f t="shared" si="41"/>
        <v>15.599999999999909</v>
      </c>
      <c r="L197">
        <f t="shared" si="43"/>
        <v>1510.33</v>
      </c>
      <c r="M197">
        <f>AVERAGE(B197:B247)</f>
        <v>1649.8117647058818</v>
      </c>
      <c r="N197">
        <f t="shared" ref="N197:N260" si="46">L197-L196</f>
        <v>3.1349999999997635</v>
      </c>
      <c r="O197">
        <v>-219.27658888888885</v>
      </c>
      <c r="P197">
        <f t="shared" si="44"/>
        <v>-106.702234078026</v>
      </c>
      <c r="V197" s="25">
        <v>3405.8</v>
      </c>
      <c r="W197" s="25"/>
      <c r="X197">
        <f>V197-W166</f>
        <v>214.26874999999973</v>
      </c>
      <c r="Y197">
        <f>SUM(X166:X197)</f>
        <v>-1.3642420526593924E-11</v>
      </c>
      <c r="AA197">
        <f t="shared" si="32"/>
        <v>45911.097226562386</v>
      </c>
      <c r="AL197">
        <v>3399.8</v>
      </c>
      <c r="AN197">
        <f>AL197-AM193</f>
        <v>-6.7750000000000909</v>
      </c>
      <c r="AO197">
        <f>SUM(AN193:AN197)</f>
        <v>-47.275000000001</v>
      </c>
      <c r="AQ197">
        <f t="shared" si="36"/>
        <v>45.900625000001234</v>
      </c>
      <c r="BB197">
        <v>3438.1</v>
      </c>
      <c r="BD197">
        <f>BB197-BC196</f>
        <v>1518.65</v>
      </c>
      <c r="BE197">
        <f>SUM(BD196:BD197)</f>
        <v>2931.3</v>
      </c>
      <c r="BG197">
        <f>POWER(BD197,2)</f>
        <v>2306297.8225000002</v>
      </c>
    </row>
    <row r="198" spans="1:63">
      <c r="A198" s="1">
        <v>197</v>
      </c>
      <c r="B198">
        <v>1515.1</v>
      </c>
      <c r="C198">
        <f t="shared" si="42"/>
        <v>1572.9873</v>
      </c>
      <c r="D198">
        <f t="shared" si="38"/>
        <v>0.384765625</v>
      </c>
      <c r="E198">
        <f t="shared" si="39"/>
        <v>1783.5172148882718</v>
      </c>
      <c r="F198">
        <f t="shared" si="40"/>
        <v>-57.887300000000096</v>
      </c>
      <c r="G198" t="s">
        <v>203</v>
      </c>
      <c r="H198">
        <v>168.63373333333334</v>
      </c>
      <c r="I198">
        <f t="shared" si="37"/>
        <v>-226.52103333333343</v>
      </c>
      <c r="J198">
        <f t="shared" si="45"/>
        <v>1.0296350075902521</v>
      </c>
      <c r="K198">
        <f t="shared" si="41"/>
        <v>-2</v>
      </c>
      <c r="L198">
        <f t="shared" si="43"/>
        <v>1515.0449999999998</v>
      </c>
      <c r="M198">
        <f>AVERAGE(B198:B247)</f>
        <v>1652.8179999999995</v>
      </c>
      <c r="N198">
        <f t="shared" si="46"/>
        <v>4.7149999999999181</v>
      </c>
      <c r="O198">
        <v>-233.65436666666673</v>
      </c>
      <c r="P198">
        <f t="shared" si="44"/>
        <v>102.96350075902521</v>
      </c>
      <c r="AL198">
        <v>3491.3</v>
      </c>
      <c r="AN198">
        <f>AL198-AM193</f>
        <v>84.724999999999909</v>
      </c>
      <c r="AO198">
        <f>SUM(AN193:AN198)</f>
        <v>37.449999999998909</v>
      </c>
      <c r="AQ198">
        <f t="shared" si="36"/>
        <v>7178.3256249999849</v>
      </c>
    </row>
    <row r="199" spans="1:63">
      <c r="A199" s="1">
        <v>198</v>
      </c>
      <c r="B199">
        <v>1513.1</v>
      </c>
      <c r="C199">
        <f t="shared" si="42"/>
        <v>1576.2382</v>
      </c>
      <c r="D199">
        <f t="shared" si="38"/>
        <v>0.38671875</v>
      </c>
      <c r="E199">
        <f t="shared" si="39"/>
        <v>1812.0057728222473</v>
      </c>
      <c r="F199">
        <f t="shared" si="40"/>
        <v>-63.138200000000097</v>
      </c>
      <c r="G199" t="s">
        <v>204</v>
      </c>
      <c r="H199">
        <v>175.06061111111109</v>
      </c>
      <c r="I199">
        <f t="shared" si="37"/>
        <v>-238.19881111111118</v>
      </c>
      <c r="J199">
        <f t="shared" si="45"/>
        <v>-0.13217897032582118</v>
      </c>
      <c r="K199">
        <f t="shared" si="41"/>
        <v>6.6000000000001364</v>
      </c>
      <c r="L199">
        <f t="shared" si="43"/>
        <v>1518.25</v>
      </c>
      <c r="M199">
        <f>AVERAGE(B199:B249)</f>
        <v>1667.35294117647</v>
      </c>
      <c r="N199">
        <f t="shared" si="46"/>
        <v>3.2050000000001546</v>
      </c>
      <c r="O199">
        <v>-226.52103333333343</v>
      </c>
      <c r="P199">
        <f t="shared" si="44"/>
        <v>-13.217897032582119</v>
      </c>
      <c r="AL199">
        <v>3369.9</v>
      </c>
      <c r="AN199">
        <f>AL199-AM193</f>
        <v>-36.675000000000182</v>
      </c>
      <c r="AO199">
        <f>SUM(AN193:AN199)</f>
        <v>0.77499999999872671</v>
      </c>
      <c r="AQ199">
        <f t="shared" si="36"/>
        <v>1345.0556250000134</v>
      </c>
      <c r="AZ199" t="s">
        <v>668</v>
      </c>
      <c r="BA199">
        <f>COUNT(B503:B504)</f>
        <v>2</v>
      </c>
      <c r="BB199" cm="1">
        <f t="array" ref="BB199:BB200">(B503:B504)</f>
        <v>3371.4</v>
      </c>
      <c r="BC199">
        <f>AVERAGE(B378:B379)</f>
        <v>1879.0500000000002</v>
      </c>
      <c r="BD199">
        <f>BB199-BC199</f>
        <v>1492.35</v>
      </c>
      <c r="BE199">
        <f>SUM(BD199)</f>
        <v>1492.35</v>
      </c>
      <c r="BF199">
        <f>MAX(BE199:BE200)-MIN(BE199:BE200)</f>
        <v>1408.5499999999997</v>
      </c>
      <c r="BG199">
        <f>POWER(BD199,2)</f>
        <v>2227108.5224999995</v>
      </c>
      <c r="BH199">
        <f>SQRT(SUM(BG199:BG200)/COUNT(BG199:BG200))</f>
        <v>1451.0550687344708</v>
      </c>
      <c r="BI199">
        <f>BF199/BH199</f>
        <v>0.97070747372011068</v>
      </c>
      <c r="BJ199">
        <f>LOG(BI199)</f>
        <v>-1.2911626620950413E-2</v>
      </c>
      <c r="BK199">
        <f>LOG(BA199)</f>
        <v>0.3010299956639812</v>
      </c>
    </row>
    <row r="200" spans="1:63" ht="28.5">
      <c r="A200" s="1">
        <v>199</v>
      </c>
      <c r="B200">
        <v>1519.7</v>
      </c>
      <c r="C200">
        <f t="shared" si="42"/>
        <v>1579.4891</v>
      </c>
      <c r="D200">
        <f t="shared" si="38"/>
        <v>0.388671875</v>
      </c>
      <c r="E200">
        <f t="shared" si="39"/>
        <v>1039.45781826445</v>
      </c>
      <c r="F200">
        <f t="shared" si="40"/>
        <v>-59.789099999999962</v>
      </c>
      <c r="G200" t="s">
        <v>205</v>
      </c>
      <c r="H200">
        <v>175.60114444444446</v>
      </c>
      <c r="I200">
        <f t="shared" si="37"/>
        <v>-235.39024444444442</v>
      </c>
      <c r="J200">
        <f t="shared" si="45"/>
        <v>0.43429624267948519</v>
      </c>
      <c r="K200">
        <f t="shared" si="41"/>
        <v>-24.200000000000045</v>
      </c>
      <c r="L200">
        <f t="shared" si="43"/>
        <v>1522.19</v>
      </c>
      <c r="M200">
        <f>AVERAGE(B200:B249)</f>
        <v>1670.4379999999996</v>
      </c>
      <c r="N200">
        <f t="shared" si="46"/>
        <v>3.9400000000000546</v>
      </c>
      <c r="O200">
        <v>-238.19881111111118</v>
      </c>
      <c r="P200">
        <f t="shared" si="44"/>
        <v>43.429624267948519</v>
      </c>
      <c r="S200" s="25" t="s">
        <v>578</v>
      </c>
      <c r="T200" s="25" t="s">
        <v>579</v>
      </c>
      <c r="U200" s="25" t="s">
        <v>597</v>
      </c>
      <c r="V200" s="25" t="s">
        <v>581</v>
      </c>
      <c r="W200" s="25" t="s">
        <v>582</v>
      </c>
      <c r="X200" s="25" t="s">
        <v>583</v>
      </c>
      <c r="Y200" s="25" t="s">
        <v>584</v>
      </c>
      <c r="Z200" s="25" t="s">
        <v>588</v>
      </c>
      <c r="AA200" s="25" t="s">
        <v>586</v>
      </c>
      <c r="AB200" s="25" t="s">
        <v>587</v>
      </c>
      <c r="AC200" s="25" t="s">
        <v>589</v>
      </c>
      <c r="AD200" s="25" t="s">
        <v>590</v>
      </c>
      <c r="AE200" s="25" t="s">
        <v>596</v>
      </c>
      <c r="AF200" s="25" t="s">
        <v>603</v>
      </c>
      <c r="AG200" s="25"/>
      <c r="AL200">
        <v>3405.8</v>
      </c>
      <c r="AN200">
        <f>AL200-AM193</f>
        <v>-0.77500000000009095</v>
      </c>
      <c r="AO200">
        <f>SUM(AN193:AN200)</f>
        <v>-1.3642420526593924E-12</v>
      </c>
      <c r="AQ200">
        <f t="shared" si="36"/>
        <v>0.60062500000014096</v>
      </c>
      <c r="BB200">
        <v>3287.6</v>
      </c>
      <c r="BD200">
        <f>BB200-BC199</f>
        <v>1408.5499999999997</v>
      </c>
      <c r="BE200">
        <f>SUM(BD199:BD200)</f>
        <v>2900.8999999999996</v>
      </c>
      <c r="BG200">
        <f>POWER(BD200,2)</f>
        <v>1984013.1024999993</v>
      </c>
    </row>
    <row r="201" spans="1:63">
      <c r="A201" s="1">
        <v>200</v>
      </c>
      <c r="B201">
        <v>1495.5</v>
      </c>
      <c r="C201">
        <f t="shared" si="42"/>
        <v>1582.74</v>
      </c>
      <c r="D201">
        <f t="shared" si="38"/>
        <v>0.390625</v>
      </c>
      <c r="E201">
        <f t="shared" si="39"/>
        <v>1700.7582089988503</v>
      </c>
      <c r="F201">
        <f t="shared" si="40"/>
        <v>-87.240000000000009</v>
      </c>
      <c r="G201" t="s">
        <v>206</v>
      </c>
      <c r="H201">
        <v>183.85024444444448</v>
      </c>
      <c r="I201">
        <f t="shared" si="37"/>
        <v>-271.09024444444447</v>
      </c>
      <c r="J201">
        <f t="shared" si="45"/>
        <v>-1.6181878970244097</v>
      </c>
      <c r="K201">
        <f t="shared" si="41"/>
        <v>5.5</v>
      </c>
      <c r="L201">
        <f t="shared" si="43"/>
        <v>1528.9350000000002</v>
      </c>
      <c r="M201">
        <f>AVERAGE(B201:B251)</f>
        <v>1684.5529411764703</v>
      </c>
      <c r="N201">
        <f t="shared" si="46"/>
        <v>6.7450000000001182</v>
      </c>
      <c r="O201">
        <v>-235.39024444444442</v>
      </c>
      <c r="P201">
        <f t="shared" si="44"/>
        <v>-161.81878970244097</v>
      </c>
      <c r="S201" t="s">
        <v>576</v>
      </c>
      <c r="T201" t="s">
        <v>615</v>
      </c>
      <c r="U201">
        <f>COUNT(B481:B496)</f>
        <v>16</v>
      </c>
      <c r="V201" cm="1">
        <f t="array" ref="V201:V216">(B481:B496)</f>
        <v>2761.6</v>
      </c>
      <c r="W201">
        <f>AVERAGE(_xlfn.ANCHORARRAY(V201))</f>
        <v>3012.1875</v>
      </c>
      <c r="X201">
        <f>V201-W201</f>
        <v>-250.58750000000009</v>
      </c>
      <c r="Y201">
        <f>X201</f>
        <v>-250.58750000000009</v>
      </c>
      <c r="Z201">
        <f>MAX(Y201:Y216)-MIN(Y201:Y216)</f>
        <v>1199.8000000000002</v>
      </c>
      <c r="AA201">
        <f t="shared" ref="AA201:AA216" si="47">POWER(X201,2)</f>
        <v>62794.095156250049</v>
      </c>
      <c r="AB201">
        <f>SQRT(SUM(AA201:AA216)/COUNT(AA201:AA216))</f>
        <v>176.83983881962234</v>
      </c>
      <c r="AC201">
        <f>Z201/AB201</f>
        <v>6.7846702870149249</v>
      </c>
      <c r="AD201">
        <f>LOG(AC201)</f>
        <v>0.83152874720440439</v>
      </c>
      <c r="AE201">
        <f>LOG(U201)</f>
        <v>1.2041199826559248</v>
      </c>
      <c r="AF201">
        <f>AVERAGE(AD201:AD218)</f>
        <v>0.74143425813635733</v>
      </c>
    </row>
    <row r="202" spans="1:63">
      <c r="A202" s="1">
        <v>201</v>
      </c>
      <c r="B202">
        <v>1501</v>
      </c>
      <c r="C202">
        <f t="shared" si="42"/>
        <v>1585.9909</v>
      </c>
      <c r="D202">
        <f t="shared" si="38"/>
        <v>0.392578125</v>
      </c>
      <c r="E202">
        <f t="shared" si="39"/>
        <v>657.48743209632539</v>
      </c>
      <c r="F202">
        <f t="shared" si="40"/>
        <v>-84.990900000000011</v>
      </c>
      <c r="G202" t="s">
        <v>207</v>
      </c>
      <c r="H202">
        <v>187.5549</v>
      </c>
      <c r="I202">
        <f t="shared" si="37"/>
        <v>-272.54579999999999</v>
      </c>
      <c r="J202">
        <f t="shared" si="45"/>
        <v>0.36642238507661556</v>
      </c>
      <c r="K202">
        <f t="shared" si="41"/>
        <v>11.299999999999955</v>
      </c>
      <c r="L202">
        <f t="shared" si="43"/>
        <v>1532.7500000000002</v>
      </c>
      <c r="M202">
        <f>AVERAGE(B202:B251)</f>
        <v>1688.3339999999996</v>
      </c>
      <c r="N202">
        <f t="shared" si="46"/>
        <v>3.8150000000000546</v>
      </c>
      <c r="O202">
        <v>-271.09024444444447</v>
      </c>
      <c r="P202">
        <f t="shared" si="44"/>
        <v>36.64223850766156</v>
      </c>
      <c r="V202">
        <v>2792.7</v>
      </c>
      <c r="X202">
        <f>V202-W201</f>
        <v>-219.48750000000018</v>
      </c>
      <c r="Y202">
        <f>SUM(X201:X202)</f>
        <v>-470.07500000000027</v>
      </c>
      <c r="AA202">
        <f t="shared" si="47"/>
        <v>48174.762656250081</v>
      </c>
      <c r="AZ202" t="s">
        <v>669</v>
      </c>
      <c r="BA202">
        <f>COUNT(B505:B506)</f>
        <v>2</v>
      </c>
      <c r="BB202" cm="1">
        <f t="array" ref="BB202:BB203">(B505:B506)</f>
        <v>3398.8</v>
      </c>
      <c r="BC202">
        <f>AVERAGE(B380:B381)</f>
        <v>1852.65</v>
      </c>
      <c r="BD202">
        <f>BB202-BC202</f>
        <v>1546.15</v>
      </c>
      <c r="BE202">
        <f>BD202</f>
        <v>1546.15</v>
      </c>
      <c r="BF202">
        <f>MAX(BE202:BE203)-MIN(BE202:BE203)</f>
        <v>1553.85</v>
      </c>
      <c r="BG202">
        <f>POWER(BD202,2)</f>
        <v>2390579.8225000002</v>
      </c>
      <c r="BH202">
        <f>SQRT(SUM(BG202:BG203)/COUNT(BG202:BG203))</f>
        <v>1550.004781444238</v>
      </c>
      <c r="BI202">
        <f>BF202/BH202</f>
        <v>1.0024807785122953</v>
      </c>
      <c r="BJ202">
        <f>LOG(BI202)</f>
        <v>1.076054243767554E-3</v>
      </c>
      <c r="BK202">
        <f>LOG(BA202)</f>
        <v>0.3010299956639812</v>
      </c>
    </row>
    <row r="203" spans="1:63" ht="57">
      <c r="A203" s="1">
        <v>202</v>
      </c>
      <c r="B203">
        <v>1512.3</v>
      </c>
      <c r="C203">
        <f t="shared" si="42"/>
        <v>1589.2418</v>
      </c>
      <c r="D203">
        <f t="shared" si="38"/>
        <v>0.39453125</v>
      </c>
      <c r="E203">
        <f t="shared" si="39"/>
        <v>1238.9564147249976</v>
      </c>
      <c r="F203">
        <f t="shared" si="40"/>
        <v>-76.941800000000057</v>
      </c>
      <c r="G203" t="s">
        <v>208</v>
      </c>
      <c r="H203">
        <v>181.60400000000004</v>
      </c>
      <c r="I203">
        <f t="shared" si="37"/>
        <v>-258.5458000000001</v>
      </c>
      <c r="J203">
        <f t="shared" si="45"/>
        <v>0.74720624214771902</v>
      </c>
      <c r="K203">
        <f t="shared" si="41"/>
        <v>6.2000000000000455</v>
      </c>
      <c r="L203">
        <f t="shared" si="43"/>
        <v>1541.5050000000001</v>
      </c>
      <c r="M203">
        <f>AVERAGE(B203:B253)</f>
        <v>1699.9352941176467</v>
      </c>
      <c r="N203">
        <f t="shared" si="46"/>
        <v>8.7549999999998818</v>
      </c>
      <c r="O203">
        <v>-272.54579999999999</v>
      </c>
      <c r="P203">
        <f t="shared" si="44"/>
        <v>74.720624214771902</v>
      </c>
      <c r="V203">
        <v>2835</v>
      </c>
      <c r="X203">
        <f>V203-W201</f>
        <v>-177.1875</v>
      </c>
      <c r="Y203">
        <f>SUM(X201:X203)</f>
        <v>-647.26250000000027</v>
      </c>
      <c r="AA203">
        <f t="shared" si="47"/>
        <v>31395.41015625</v>
      </c>
      <c r="AI203" s="25" t="s">
        <v>578</v>
      </c>
      <c r="AJ203" s="25" t="s">
        <v>579</v>
      </c>
      <c r="AK203" s="25" t="s">
        <v>597</v>
      </c>
      <c r="AL203" s="25" t="s">
        <v>581</v>
      </c>
      <c r="AM203" s="25" t="s">
        <v>582</v>
      </c>
      <c r="AN203" s="25" t="s">
        <v>583</v>
      </c>
      <c r="AO203" s="25" t="s">
        <v>584</v>
      </c>
      <c r="AP203" s="25" t="s">
        <v>588</v>
      </c>
      <c r="AQ203" s="25" t="s">
        <v>586</v>
      </c>
      <c r="AR203" s="25" t="s">
        <v>585</v>
      </c>
      <c r="AS203" s="25" t="s">
        <v>589</v>
      </c>
      <c r="AT203" s="25" t="s">
        <v>590</v>
      </c>
      <c r="AU203" s="25" t="s">
        <v>596</v>
      </c>
      <c r="AV203" s="25" t="s">
        <v>603</v>
      </c>
      <c r="AW203" s="25"/>
      <c r="BB203">
        <v>3406.5</v>
      </c>
      <c r="BD203">
        <f>BB203-BC202</f>
        <v>1553.85</v>
      </c>
      <c r="BE203">
        <f>SUM(BD202:BD203)</f>
        <v>3100</v>
      </c>
      <c r="BG203">
        <f>POWER(BD203,2)</f>
        <v>2414449.8224999998</v>
      </c>
    </row>
    <row r="204" spans="1:63">
      <c r="A204" s="1">
        <v>203</v>
      </c>
      <c r="B204">
        <v>1518.5</v>
      </c>
      <c r="C204">
        <f t="shared" si="42"/>
        <v>1592.4927</v>
      </c>
      <c r="D204">
        <f t="shared" si="38"/>
        <v>0.396484375</v>
      </c>
      <c r="E204">
        <f t="shared" si="39"/>
        <v>979.99571118882329</v>
      </c>
      <c r="F204">
        <f t="shared" si="40"/>
        <v>-73.992700000000013</v>
      </c>
      <c r="G204" t="s">
        <v>209</v>
      </c>
      <c r="H204">
        <v>174.28643333333338</v>
      </c>
      <c r="I204">
        <f t="shared" si="37"/>
        <v>-248.27913333333339</v>
      </c>
      <c r="J204">
        <f t="shared" si="45"/>
        <v>0.40829766216661478</v>
      </c>
      <c r="K204">
        <f t="shared" si="41"/>
        <v>-48.700000000000045</v>
      </c>
      <c r="L204">
        <f t="shared" si="43"/>
        <v>1541.8650000000002</v>
      </c>
      <c r="M204">
        <f>AVERAGE(B204:B253)</f>
        <v>1703.6879999999996</v>
      </c>
      <c r="N204">
        <f t="shared" si="46"/>
        <v>0.36000000000012733</v>
      </c>
      <c r="O204">
        <v>-258.5458000000001</v>
      </c>
      <c r="P204">
        <f t="shared" si="44"/>
        <v>40.829766216661476</v>
      </c>
      <c r="V204">
        <v>2887.6</v>
      </c>
      <c r="X204">
        <f>V204-W201</f>
        <v>-124.58750000000009</v>
      </c>
      <c r="Y204">
        <f>SUM(X201:X204)</f>
        <v>-771.85000000000036</v>
      </c>
      <c r="AA204">
        <f t="shared" si="47"/>
        <v>15522.045156250022</v>
      </c>
      <c r="AI204" t="s">
        <v>574</v>
      </c>
      <c r="AJ204" t="s">
        <v>651</v>
      </c>
      <c r="AK204">
        <f>COUNT(B481:B484)</f>
        <v>4</v>
      </c>
      <c r="AL204" cm="1">
        <f t="array" ref="AL204:AL207">(B481:B484)</f>
        <v>2761.6</v>
      </c>
      <c r="AM204">
        <f>AVERAGE(_xlfn.ANCHORARRAY(AL204))</f>
        <v>2819.2249999999999</v>
      </c>
      <c r="AN204">
        <f>AL204-AM204</f>
        <v>-57.625</v>
      </c>
      <c r="AO204">
        <f>SUM(AN204)</f>
        <v>-57.625</v>
      </c>
      <c r="AP204">
        <f>MAX(AO204:AO207)-MIN(AO204:AO207)</f>
        <v>84.150000000000091</v>
      </c>
      <c r="AQ204">
        <f>POWER(AN204,2)</f>
        <v>3320.640625</v>
      </c>
      <c r="AR204">
        <f>SQRT(SUM(AQ204:AQ207)/COUNT(AQ204:AQ207))</f>
        <v>47.297482755427922</v>
      </c>
      <c r="AS204">
        <f>AP204/AR204</f>
        <v>1.7791644522634331</v>
      </c>
      <c r="AT204">
        <f>LOG(AS204)</f>
        <v>0.25021609277737838</v>
      </c>
      <c r="AU204">
        <f>LOG(AK204)</f>
        <v>0.6020599913279624</v>
      </c>
      <c r="AV204">
        <f>AVERAGE(AT204:AT239)</f>
        <v>0.21587586702585293</v>
      </c>
    </row>
    <row r="205" spans="1:63">
      <c r="A205" s="1">
        <v>204</v>
      </c>
      <c r="B205">
        <v>1469.8</v>
      </c>
      <c r="C205">
        <f t="shared" si="42"/>
        <v>1595.7436</v>
      </c>
      <c r="D205">
        <f t="shared" si="38"/>
        <v>0.3984375</v>
      </c>
      <c r="E205">
        <f t="shared" si="39"/>
        <v>1265.9895612473206</v>
      </c>
      <c r="F205">
        <f t="shared" si="40"/>
        <v>-125.94360000000006</v>
      </c>
      <c r="G205" t="s">
        <v>210</v>
      </c>
      <c r="H205">
        <v>168.29108888888885</v>
      </c>
      <c r="I205">
        <f t="shared" si="37"/>
        <v>-294.23468888888891</v>
      </c>
      <c r="J205">
        <f t="shared" si="45"/>
        <v>-3.3133759695196656</v>
      </c>
      <c r="K205">
        <f t="shared" si="41"/>
        <v>5.6000000000001364</v>
      </c>
      <c r="L205">
        <f t="shared" si="43"/>
        <v>1540.3449999999998</v>
      </c>
      <c r="M205">
        <f>AVERAGE(B205:B255)</f>
        <v>1715.9509803921567</v>
      </c>
      <c r="N205">
        <f t="shared" si="46"/>
        <v>-1.5200000000004366</v>
      </c>
      <c r="O205">
        <v>-248.27913333333339</v>
      </c>
      <c r="P205">
        <f t="shared" si="44"/>
        <v>-331.33759695196659</v>
      </c>
      <c r="V205">
        <v>2888.9</v>
      </c>
      <c r="X205">
        <f>V205-W201</f>
        <v>-123.28749999999991</v>
      </c>
      <c r="Y205">
        <f>SUM(X201:X205)</f>
        <v>-895.13750000000027</v>
      </c>
      <c r="AA205">
        <f t="shared" si="47"/>
        <v>15199.807656249977</v>
      </c>
      <c r="AL205">
        <v>2792.7</v>
      </c>
      <c r="AN205">
        <f>AL205-AM204</f>
        <v>-26.525000000000091</v>
      </c>
      <c r="AO205">
        <f>SUM(AN204:AN205)</f>
        <v>-84.150000000000091</v>
      </c>
      <c r="AQ205">
        <f>POWER(AN205,2)</f>
        <v>703.57562500000483</v>
      </c>
      <c r="AZ205" t="s">
        <v>670</v>
      </c>
      <c r="BA205">
        <f>COUNT(B507:B508)</f>
        <v>2</v>
      </c>
      <c r="BB205" cm="1">
        <f t="array" ref="BB205:BB206">(B507:B508)</f>
        <v>3400.9</v>
      </c>
      <c r="BC205">
        <f>AVERAGE(B382:B383)</f>
        <v>1937.1</v>
      </c>
      <c r="BD205">
        <f>BB205-BC205</f>
        <v>1463.8000000000002</v>
      </c>
      <c r="BE205">
        <f>SUM(BD205)</f>
        <v>1463.8000000000002</v>
      </c>
      <c r="BF205">
        <f>MAX(BE205:BE206)-MIN(BE205:BE206)</f>
        <v>1442.5</v>
      </c>
      <c r="BG205">
        <f>POWER(BD205,2)</f>
        <v>2142710.4400000004</v>
      </c>
      <c r="BH205">
        <f>SQRT(SUM(BG205:BG206)/COUNT(BG205:BG206))</f>
        <v>1453.1890259013107</v>
      </c>
      <c r="BI205">
        <f>BF205/BH205</f>
        <v>0.992644435300025</v>
      </c>
      <c r="BJ205">
        <f>LOG(BI205)</f>
        <v>-3.2062876983743782E-3</v>
      </c>
      <c r="BK205">
        <f>LOG(BA205)</f>
        <v>0.3010299956639812</v>
      </c>
    </row>
    <row r="206" spans="1:63">
      <c r="A206" s="1">
        <v>205</v>
      </c>
      <c r="B206">
        <v>1475.4</v>
      </c>
      <c r="C206">
        <f t="shared" si="42"/>
        <v>1598.9945</v>
      </c>
      <c r="D206">
        <f t="shared" si="38"/>
        <v>0.400390625</v>
      </c>
      <c r="E206">
        <f t="shared" si="39"/>
        <v>1320.162210260499</v>
      </c>
      <c r="F206">
        <f t="shared" si="40"/>
        <v>-123.59449999999993</v>
      </c>
      <c r="G206" t="s">
        <v>211</v>
      </c>
      <c r="H206">
        <v>163.41796666666673</v>
      </c>
      <c r="I206">
        <f t="shared" si="37"/>
        <v>-287.01246666666668</v>
      </c>
      <c r="J206">
        <f t="shared" si="45"/>
        <v>0.37955808594280444</v>
      </c>
      <c r="K206">
        <f t="shared" si="41"/>
        <v>-4.9000000000000909</v>
      </c>
      <c r="L206">
        <f t="shared" si="43"/>
        <v>1549.56</v>
      </c>
      <c r="M206">
        <f>AVERAGE(B206:B255)</f>
        <v>1720.8739999999996</v>
      </c>
      <c r="N206">
        <f t="shared" si="46"/>
        <v>9.2150000000001455</v>
      </c>
      <c r="O206">
        <v>-294.23468888888891</v>
      </c>
      <c r="P206">
        <f t="shared" si="44"/>
        <v>37.955808594280441</v>
      </c>
      <c r="V206">
        <v>2940.5</v>
      </c>
      <c r="X206">
        <f>V206-W201</f>
        <v>-71.6875</v>
      </c>
      <c r="Y206">
        <f>SUM(X201:X206)</f>
        <v>-966.82500000000027</v>
      </c>
      <c r="AA206">
        <f t="shared" si="47"/>
        <v>5139.09765625</v>
      </c>
      <c r="AL206">
        <v>2835</v>
      </c>
      <c r="AN206">
        <f>AL206-AM204</f>
        <v>15.775000000000091</v>
      </c>
      <c r="AO206">
        <f>SUM(AN204:AN206)</f>
        <v>-68.375</v>
      </c>
      <c r="AQ206">
        <f>POWER(AN206,2)</f>
        <v>248.85062500000288</v>
      </c>
      <c r="BB206">
        <v>3379.6</v>
      </c>
      <c r="BD206">
        <f>BB206-BC205</f>
        <v>1442.5</v>
      </c>
      <c r="BE206">
        <f>SUM(BD205:BD206)</f>
        <v>2906.3</v>
      </c>
      <c r="BG206">
        <f>POWER(BD206,2)</f>
        <v>2080806.25</v>
      </c>
    </row>
    <row r="207" spans="1:63">
      <c r="A207" s="1">
        <v>206</v>
      </c>
      <c r="B207">
        <v>1470.5</v>
      </c>
      <c r="C207">
        <f t="shared" si="42"/>
        <v>1602.2454</v>
      </c>
      <c r="D207">
        <f t="shared" si="38"/>
        <v>0.40234375</v>
      </c>
      <c r="E207">
        <f t="shared" si="39"/>
        <v>1492.4105206031006</v>
      </c>
      <c r="F207">
        <f t="shared" si="40"/>
        <v>-131.74540000000002</v>
      </c>
      <c r="G207" t="s">
        <v>212</v>
      </c>
      <c r="H207">
        <v>168.63373333333334</v>
      </c>
      <c r="I207">
        <f t="shared" si="37"/>
        <v>-300.37913333333336</v>
      </c>
      <c r="J207">
        <f t="shared" si="45"/>
        <v>-0.33321999319959816</v>
      </c>
      <c r="K207">
        <f t="shared" si="41"/>
        <v>7.5999999999999091</v>
      </c>
      <c r="L207">
        <f t="shared" si="43"/>
        <v>1558.0650000000001</v>
      </c>
      <c r="M207">
        <f>AVERAGE(B207:B257)</f>
        <v>1732.7098039215682</v>
      </c>
      <c r="N207">
        <f t="shared" si="46"/>
        <v>8.5050000000001091</v>
      </c>
      <c r="O207">
        <v>-287.01246666666668</v>
      </c>
      <c r="P207">
        <f t="shared" si="44"/>
        <v>-33.321999319959815</v>
      </c>
      <c r="V207">
        <v>2848.5</v>
      </c>
      <c r="X207">
        <f>V207-W201</f>
        <v>-163.6875</v>
      </c>
      <c r="Y207">
        <f>SUM(X201:X207)</f>
        <v>-1130.5125000000003</v>
      </c>
      <c r="AA207">
        <f t="shared" si="47"/>
        <v>26793.59765625</v>
      </c>
      <c r="AL207">
        <v>2887.6</v>
      </c>
      <c r="AN207">
        <f>AL207-AM204</f>
        <v>68.375</v>
      </c>
      <c r="AO207">
        <f>SUM(AN204:AN207)</f>
        <v>0</v>
      </c>
      <c r="AQ207">
        <f>POWER(AN207,2)</f>
        <v>4675.140625</v>
      </c>
    </row>
    <row r="208" spans="1:63">
      <c r="A208" s="1">
        <v>207</v>
      </c>
      <c r="B208">
        <v>1478.1</v>
      </c>
      <c r="C208">
        <f t="shared" si="42"/>
        <v>1605.4963</v>
      </c>
      <c r="D208">
        <f t="shared" si="38"/>
        <v>0.404296875</v>
      </c>
      <c r="E208">
        <f t="shared" si="39"/>
        <v>1856.9795493776162</v>
      </c>
      <c r="F208">
        <f t="shared" si="40"/>
        <v>-127.39630000000011</v>
      </c>
      <c r="G208" t="s">
        <v>213</v>
      </c>
      <c r="H208">
        <v>175.06061111111109</v>
      </c>
      <c r="I208">
        <f t="shared" si="37"/>
        <v>-302.4569111111112</v>
      </c>
      <c r="J208">
        <f t="shared" si="45"/>
        <v>0.51417360124483524</v>
      </c>
      <c r="K208">
        <f t="shared" si="41"/>
        <v>-7.3999999999998636</v>
      </c>
      <c r="L208">
        <f t="shared" si="43"/>
        <v>1572.1449999999998</v>
      </c>
      <c r="M208">
        <f>AVERAGE(B208:B257)</f>
        <v>1737.9539999999997</v>
      </c>
      <c r="N208">
        <f t="shared" si="46"/>
        <v>14.0799999999997</v>
      </c>
      <c r="O208">
        <v>-300.37913333333336</v>
      </c>
      <c r="P208">
        <f t="shared" si="44"/>
        <v>51.417360124483523</v>
      </c>
      <c r="V208">
        <v>2942.9</v>
      </c>
      <c r="X208">
        <f>V208-W201</f>
        <v>-69.287499999999909</v>
      </c>
      <c r="Y208">
        <f>SUM(X201:X208)</f>
        <v>-1199.8000000000002</v>
      </c>
      <c r="AA208">
        <f t="shared" si="47"/>
        <v>4800.7576562499871</v>
      </c>
      <c r="AZ208" t="s">
        <v>671</v>
      </c>
      <c r="BA208">
        <f>COUNT(B509:B510)</f>
        <v>2</v>
      </c>
      <c r="BB208" cm="1">
        <f t="array" ref="BB208:BB209">(B509:B510)</f>
        <v>3399.8</v>
      </c>
      <c r="BC208">
        <f>AVERAGE(B384:B385)</f>
        <v>2002.9</v>
      </c>
      <c r="BD208">
        <f>BB208-BC208</f>
        <v>1396.9</v>
      </c>
      <c r="BE208">
        <f>SUM(BD208)</f>
        <v>1396.9</v>
      </c>
      <c r="BF208">
        <f>MAX(BE208:BE209)-MIN(BE208:BE209)</f>
        <v>1488.4</v>
      </c>
      <c r="BG208">
        <f>POWER(BD208,2)</f>
        <v>1951329.6100000003</v>
      </c>
      <c r="BH208">
        <f>SQRT(SUM(BG208:BG209)/COUNT(BG208:BG209))</f>
        <v>1443.3752405386481</v>
      </c>
      <c r="BI208">
        <f>BF208/BH208</f>
        <v>1.0311940777399988</v>
      </c>
      <c r="BJ208">
        <f>LOG(BI208)</f>
        <v>1.3340410151955858E-2</v>
      </c>
      <c r="BK208">
        <f>LOG(BA208)</f>
        <v>0.3010299956639812</v>
      </c>
    </row>
    <row r="209" spans="1:63">
      <c r="A209" s="1">
        <v>208</v>
      </c>
      <c r="B209">
        <v>1470.7</v>
      </c>
      <c r="C209">
        <f t="shared" si="42"/>
        <v>1608.7472</v>
      </c>
      <c r="D209">
        <f t="shared" si="38"/>
        <v>0.40625</v>
      </c>
      <c r="E209">
        <f t="shared" si="39"/>
        <v>1254.0963769718642</v>
      </c>
      <c r="F209">
        <f t="shared" si="40"/>
        <v>-138.04719999999998</v>
      </c>
      <c r="G209" t="s">
        <v>214</v>
      </c>
      <c r="H209">
        <v>175.60114444444446</v>
      </c>
      <c r="I209">
        <f t="shared" si="37"/>
        <v>-313.64834444444443</v>
      </c>
      <c r="J209">
        <f t="shared" si="45"/>
        <v>-0.50316175970625299</v>
      </c>
      <c r="K209">
        <f t="shared" si="41"/>
        <v>16.200000000000045</v>
      </c>
      <c r="L209">
        <f t="shared" si="43"/>
        <v>1583.2449999999997</v>
      </c>
      <c r="M209">
        <f>AVERAGE(B209:B259)</f>
        <v>1750.4254901960783</v>
      </c>
      <c r="N209">
        <f t="shared" si="46"/>
        <v>11.099999999999909</v>
      </c>
      <c r="O209">
        <v>-302.4569111111112</v>
      </c>
      <c r="P209">
        <f t="shared" si="44"/>
        <v>-50.316175970625295</v>
      </c>
      <c r="V209">
        <v>3014.6</v>
      </c>
      <c r="X209">
        <f>V209-W201</f>
        <v>2.4124999999999091</v>
      </c>
      <c r="Y209">
        <f>SUM(X201:X209)</f>
        <v>-1197.3875000000003</v>
      </c>
      <c r="AA209">
        <f t="shared" si="47"/>
        <v>5.8201562499995614</v>
      </c>
      <c r="AJ209" t="s">
        <v>652</v>
      </c>
      <c r="AK209">
        <f>COUNT(B485:B488)</f>
        <v>4</v>
      </c>
      <c r="AL209" cm="1">
        <f t="array" ref="AL209:AL212">(B485:B488)</f>
        <v>2888.9</v>
      </c>
      <c r="AM209">
        <f>AVERAGE(_xlfn.ANCHORARRAY(AL209))</f>
        <v>2905.2</v>
      </c>
      <c r="AN209">
        <f>AL209-AM209</f>
        <v>-16.299999999999727</v>
      </c>
      <c r="AO209">
        <f>SUM(AN209)</f>
        <v>-16.299999999999727</v>
      </c>
      <c r="AP209">
        <f>MAX(AO209:AO212)-MIN(AO209:AO212)</f>
        <v>56.699999999999818</v>
      </c>
      <c r="AQ209">
        <f>POWER(AN209,2)</f>
        <v>265.68999999999113</v>
      </c>
      <c r="AR209">
        <f>SQRT(SUM(AQ209:AQ212)/COUNT(AQ209:AQ212))</f>
        <v>39.204464031536013</v>
      </c>
      <c r="AS209">
        <f>AP209/AR209</f>
        <v>1.4462638732770436</v>
      </c>
      <c r="AT209">
        <f>LOG(AS209)</f>
        <v>0.1602475379468539</v>
      </c>
      <c r="AU209">
        <f>LOG(AK209)</f>
        <v>0.6020599913279624</v>
      </c>
      <c r="BB209">
        <v>3491.3</v>
      </c>
      <c r="BD209">
        <f>BB209-BC208</f>
        <v>1488.4</v>
      </c>
      <c r="BE209">
        <f>SUM(BD208:BD209)</f>
        <v>2885.3</v>
      </c>
      <c r="BG209">
        <f>POWER(BD209,2)</f>
        <v>2215334.56</v>
      </c>
    </row>
    <row r="210" spans="1:63">
      <c r="A210" s="1">
        <v>209</v>
      </c>
      <c r="B210">
        <v>1486.9</v>
      </c>
      <c r="C210">
        <f t="shared" si="42"/>
        <v>1611.9981</v>
      </c>
      <c r="D210">
        <f t="shared" si="38"/>
        <v>0.408203125</v>
      </c>
      <c r="E210">
        <f t="shared" si="39"/>
        <v>1649.3790487484225</v>
      </c>
      <c r="F210">
        <f t="shared" si="40"/>
        <v>-125.09809999999993</v>
      </c>
      <c r="G210" t="s">
        <v>215</v>
      </c>
      <c r="H210">
        <v>183.85024444444448</v>
      </c>
      <c r="I210">
        <f t="shared" si="37"/>
        <v>-308.94834444444439</v>
      </c>
      <c r="J210">
        <f t="shared" si="45"/>
        <v>1.08951509852714</v>
      </c>
      <c r="K210">
        <f t="shared" si="41"/>
        <v>-0.3000000000001819</v>
      </c>
      <c r="L210">
        <f t="shared" si="43"/>
        <v>1596.6949999999997</v>
      </c>
      <c r="M210">
        <f>AVERAGE(B210:B259)</f>
        <v>1756.02</v>
      </c>
      <c r="N210">
        <f t="shared" si="46"/>
        <v>13.450000000000045</v>
      </c>
      <c r="O210">
        <v>-313.64834444444443</v>
      </c>
      <c r="P210">
        <f t="shared" si="44"/>
        <v>108.951509852714</v>
      </c>
      <c r="V210">
        <v>3034.5</v>
      </c>
      <c r="X210">
        <f>V210-W201</f>
        <v>22.3125</v>
      </c>
      <c r="Y210">
        <f>SUM(X201:X210)</f>
        <v>-1175.0750000000003</v>
      </c>
      <c r="AA210">
        <f t="shared" si="47"/>
        <v>497.84765625</v>
      </c>
      <c r="AL210">
        <v>2940.5</v>
      </c>
      <c r="AN210">
        <f>AL210-AM209</f>
        <v>35.300000000000182</v>
      </c>
      <c r="AO210">
        <f>SUM(AN209:AN210)</f>
        <v>19.000000000000455</v>
      </c>
      <c r="AQ210">
        <f>POWER(AN210,2)</f>
        <v>1246.0900000000129</v>
      </c>
    </row>
    <row r="211" spans="1:63">
      <c r="A211" s="1">
        <v>210</v>
      </c>
      <c r="B211">
        <v>1486.6</v>
      </c>
      <c r="C211">
        <f t="shared" si="42"/>
        <v>1615.249</v>
      </c>
      <c r="D211">
        <f t="shared" si="38"/>
        <v>0.41015625</v>
      </c>
      <c r="E211">
        <f t="shared" si="39"/>
        <v>1018.0594232355353</v>
      </c>
      <c r="F211">
        <f t="shared" si="40"/>
        <v>-128.64900000000011</v>
      </c>
      <c r="G211" t="s">
        <v>216</v>
      </c>
      <c r="H211">
        <v>187.5549</v>
      </c>
      <c r="I211">
        <f t="shared" si="37"/>
        <v>-316.20390000000009</v>
      </c>
      <c r="J211">
        <f t="shared" si="45"/>
        <v>-2.0180277142484996E-2</v>
      </c>
      <c r="K211">
        <f t="shared" si="41"/>
        <v>37.5</v>
      </c>
      <c r="L211">
        <f t="shared" si="43"/>
        <v>1607.7099999999996</v>
      </c>
      <c r="M211">
        <f>AVERAGE(B211:B261)</f>
        <v>1764.4</v>
      </c>
      <c r="N211">
        <f t="shared" si="46"/>
        <v>11.014999999999873</v>
      </c>
      <c r="O211">
        <v>-308.94834444444439</v>
      </c>
      <c r="P211">
        <f t="shared" si="44"/>
        <v>-2.0180277142484995</v>
      </c>
      <c r="V211">
        <v>3114.3</v>
      </c>
      <c r="X211">
        <f>V211-W201</f>
        <v>102.11250000000018</v>
      </c>
      <c r="Y211">
        <f>SUM(X201:X211)</f>
        <v>-1072.9625000000001</v>
      </c>
      <c r="AA211">
        <f t="shared" si="47"/>
        <v>10426.962656250038</v>
      </c>
      <c r="AL211">
        <v>2848.5</v>
      </c>
      <c r="AN211">
        <f>AL211-AM209</f>
        <v>-56.699999999999818</v>
      </c>
      <c r="AO211">
        <f>SUM(AN209:AN211)</f>
        <v>-37.699999999999363</v>
      </c>
      <c r="AQ211">
        <f>POWER(AN211,2)</f>
        <v>3214.8899999999794</v>
      </c>
      <c r="AZ211" t="s">
        <v>672</v>
      </c>
      <c r="BA211">
        <f>COUNT(B511:B512)</f>
        <v>2</v>
      </c>
      <c r="BB211" cm="1">
        <f t="array" ref="BB211:BB212">(B511:B512)</f>
        <v>3369.9</v>
      </c>
      <c r="BC211">
        <f>AVERAGE(B386:B387)</f>
        <v>2039.4</v>
      </c>
      <c r="BD211">
        <f>BB211-BC211</f>
        <v>1330.5</v>
      </c>
      <c r="BE211">
        <f>SUM(BD211)</f>
        <v>1330.5</v>
      </c>
      <c r="BF211">
        <f>MAX(BE211:BE212)-MIN(BE211:BE212)</f>
        <v>1366.4</v>
      </c>
      <c r="BG211">
        <f>POWER(BD211,2)</f>
        <v>1770230.25</v>
      </c>
      <c r="BH211">
        <f>SQRT(SUM(BG211:BG212)/COUNT(BG211:BG212))</f>
        <v>1348.5694661380999</v>
      </c>
      <c r="BI211">
        <f>BF211/BH211</f>
        <v>1.0132218134175628</v>
      </c>
      <c r="BJ211">
        <f>LOG(BI211)</f>
        <v>5.7045310443911484E-3</v>
      </c>
      <c r="BK211">
        <f>LOG(BA211)</f>
        <v>0.3010299956639812</v>
      </c>
    </row>
    <row r="212" spans="1:63">
      <c r="A212" s="1">
        <v>211</v>
      </c>
      <c r="B212">
        <v>1524.1</v>
      </c>
      <c r="C212">
        <f t="shared" si="42"/>
        <v>1618.4999</v>
      </c>
      <c r="D212">
        <f t="shared" si="38"/>
        <v>0.412109375</v>
      </c>
      <c r="E212">
        <f t="shared" si="39"/>
        <v>1577.3458135452811</v>
      </c>
      <c r="F212">
        <f t="shared" si="40"/>
        <v>-94.399900000000116</v>
      </c>
      <c r="G212" t="s">
        <v>217</v>
      </c>
      <c r="H212">
        <v>181.60400000000004</v>
      </c>
      <c r="I212">
        <f t="shared" si="37"/>
        <v>-276.00390000000016</v>
      </c>
      <c r="J212">
        <f t="shared" si="45"/>
        <v>2.460468473197297</v>
      </c>
      <c r="K212">
        <f t="shared" si="41"/>
        <v>34.600000000000136</v>
      </c>
      <c r="L212">
        <f t="shared" si="43"/>
        <v>1619.7099999999996</v>
      </c>
      <c r="M212">
        <f>AVERAGE(B212:B261)</f>
        <v>1769.9560000000001</v>
      </c>
      <c r="N212">
        <f t="shared" si="46"/>
        <v>12</v>
      </c>
      <c r="O212">
        <v>-316.20390000000009</v>
      </c>
      <c r="P212">
        <f t="shared" si="44"/>
        <v>246.04684731972969</v>
      </c>
      <c r="V212">
        <v>3035.4</v>
      </c>
      <c r="X212">
        <f>V212-W201</f>
        <v>23.212500000000091</v>
      </c>
      <c r="Y212">
        <f>SUM(X201:X212)</f>
        <v>-1049.75</v>
      </c>
      <c r="AA212">
        <f t="shared" si="47"/>
        <v>538.82015625000417</v>
      </c>
      <c r="AL212">
        <v>2942.9</v>
      </c>
      <c r="AN212">
        <f>AL212-AM209</f>
        <v>37.700000000000273</v>
      </c>
      <c r="AO212">
        <f>SUM(AN209:AN212)</f>
        <v>9.0949470177292824E-13</v>
      </c>
      <c r="AQ212">
        <f>POWER(AN212,2)</f>
        <v>1421.2900000000207</v>
      </c>
      <c r="BB212">
        <v>3405.8</v>
      </c>
      <c r="BD212">
        <f>BB212-BC211</f>
        <v>1366.4</v>
      </c>
      <c r="BE212">
        <f>SUM(BD211:BD212)</f>
        <v>2696.9</v>
      </c>
      <c r="BG212">
        <f>POWER(BD212,2)</f>
        <v>1867048.9600000002</v>
      </c>
    </row>
    <row r="213" spans="1:63">
      <c r="A213" s="1">
        <v>212</v>
      </c>
      <c r="B213">
        <v>1558.7</v>
      </c>
      <c r="C213">
        <f t="shared" si="42"/>
        <v>1621.7508</v>
      </c>
      <c r="D213">
        <f t="shared" si="38"/>
        <v>0.4140625</v>
      </c>
      <c r="E213">
        <f t="shared" si="39"/>
        <v>1535.6534164287143</v>
      </c>
      <c r="F213">
        <f t="shared" si="40"/>
        <v>-63.050799999999981</v>
      </c>
      <c r="G213" t="s">
        <v>218</v>
      </c>
      <c r="H213">
        <v>174.28643333333338</v>
      </c>
      <c r="I213">
        <f t="shared" si="37"/>
        <v>-237.33723333333336</v>
      </c>
      <c r="J213">
        <f t="shared" si="45"/>
        <v>2.2197985500737882</v>
      </c>
      <c r="K213">
        <f t="shared" si="41"/>
        <v>7.7000000000000455</v>
      </c>
      <c r="L213">
        <f t="shared" si="43"/>
        <v>1631.9049999999997</v>
      </c>
      <c r="M213">
        <f>AVERAGE(B213:B263)</f>
        <v>1777.7509803921573</v>
      </c>
      <c r="N213">
        <f t="shared" si="46"/>
        <v>12.195000000000164</v>
      </c>
      <c r="O213">
        <v>-276.00390000000016</v>
      </c>
      <c r="P213">
        <f t="shared" si="44"/>
        <v>221.97985500737883</v>
      </c>
      <c r="V213">
        <v>3230</v>
      </c>
      <c r="X213">
        <f>V213-W201</f>
        <v>217.8125</v>
      </c>
      <c r="Y213">
        <f>SUM(X201:X213)</f>
        <v>-831.9375</v>
      </c>
      <c r="AA213">
        <f t="shared" si="47"/>
        <v>47442.28515625</v>
      </c>
    </row>
    <row r="214" spans="1:63">
      <c r="A214" s="1">
        <v>213</v>
      </c>
      <c r="B214">
        <v>1566.4</v>
      </c>
      <c r="C214">
        <f t="shared" si="42"/>
        <v>1625.0017</v>
      </c>
      <c r="D214">
        <f t="shared" si="38"/>
        <v>0.416015625</v>
      </c>
      <c r="E214">
        <f t="shared" si="39"/>
        <v>782.7641335341209</v>
      </c>
      <c r="F214">
        <f t="shared" si="40"/>
        <v>-58.601699999999937</v>
      </c>
      <c r="G214" t="s">
        <v>219</v>
      </c>
      <c r="H214">
        <v>168.29108888888885</v>
      </c>
      <c r="I214">
        <f t="shared" si="37"/>
        <v>-226.89278888888879</v>
      </c>
      <c r="J214">
        <f t="shared" si="45"/>
        <v>0.49157303370786803</v>
      </c>
      <c r="K214">
        <f t="shared" si="41"/>
        <v>9.9999999999909051E-2</v>
      </c>
      <c r="L214">
        <f t="shared" si="43"/>
        <v>1641.6449999999998</v>
      </c>
      <c r="M214">
        <f>AVERAGE(B214:B263)</f>
        <v>1782.1320000000005</v>
      </c>
      <c r="N214">
        <f t="shared" si="46"/>
        <v>9.7400000000000091</v>
      </c>
      <c r="O214">
        <v>-237.33723333333336</v>
      </c>
      <c r="P214">
        <f t="shared" si="44"/>
        <v>49.157303370786806</v>
      </c>
      <c r="V214">
        <v>3313.3</v>
      </c>
      <c r="X214">
        <f>V214-W201</f>
        <v>301.11250000000018</v>
      </c>
      <c r="Y214">
        <f>SUM(X201:X214)</f>
        <v>-530.82499999999982</v>
      </c>
      <c r="AA214">
        <f t="shared" si="47"/>
        <v>90668.737656250116</v>
      </c>
      <c r="AJ214" t="s">
        <v>653</v>
      </c>
      <c r="AK214">
        <f>COUNT(B489:B492)</f>
        <v>4</v>
      </c>
      <c r="AL214" cm="1">
        <f t="array" ref="AL214:AL217">(B489:B492)</f>
        <v>3014.6</v>
      </c>
      <c r="AM214">
        <f>AVERAGE(_xlfn.ANCHORARRAY(AL214))</f>
        <v>3049.7000000000003</v>
      </c>
      <c r="AN214">
        <f>AL214-AM214</f>
        <v>-35.100000000000364</v>
      </c>
      <c r="AO214">
        <f>SUM(AN214)</f>
        <v>-35.100000000000364</v>
      </c>
      <c r="AP214">
        <f>MAX(AO214:AO217)-MIN(AO214:AO217)</f>
        <v>64.599999999999909</v>
      </c>
      <c r="AQ214">
        <f>POWER(AN214,2)</f>
        <v>1232.0100000000255</v>
      </c>
      <c r="AR214">
        <f>SQRT(SUM(AQ214:AQ217)/COUNT(AQ214:AQ217))</f>
        <v>38.212236260130169</v>
      </c>
      <c r="AS214">
        <f>AP214/AR214</f>
        <v>1.6905579553165846</v>
      </c>
      <c r="AT214">
        <f>LOG(AS214)</f>
        <v>0.22803006373991511</v>
      </c>
      <c r="AU214">
        <f>LOG(AK214)</f>
        <v>0.6020599913279624</v>
      </c>
    </row>
    <row r="215" spans="1:63">
      <c r="A215" s="1">
        <v>214</v>
      </c>
      <c r="B215">
        <v>1566.5</v>
      </c>
      <c r="C215">
        <f t="shared" si="42"/>
        <v>1628.2525999999998</v>
      </c>
      <c r="D215">
        <f t="shared" si="38"/>
        <v>0.41796875</v>
      </c>
      <c r="E215">
        <f t="shared" si="39"/>
        <v>1604.0414796959803</v>
      </c>
      <c r="F215">
        <f t="shared" si="40"/>
        <v>-61.752599999999802</v>
      </c>
      <c r="G215" t="s">
        <v>220</v>
      </c>
      <c r="H215">
        <v>163.41796666666673</v>
      </c>
      <c r="I215">
        <f t="shared" si="37"/>
        <v>-225.17056666666653</v>
      </c>
      <c r="J215">
        <f t="shared" si="45"/>
        <v>6.3836578359341882E-3</v>
      </c>
      <c r="K215">
        <f t="shared" si="41"/>
        <v>11.700000000000045</v>
      </c>
      <c r="L215">
        <f t="shared" si="43"/>
        <v>1651.36</v>
      </c>
      <c r="M215">
        <f>AVERAGE(B215:B265)</f>
        <v>1790.6000000000001</v>
      </c>
      <c r="N215">
        <f t="shared" si="46"/>
        <v>9.7150000000001455</v>
      </c>
      <c r="O215">
        <v>-226.89278888888879</v>
      </c>
      <c r="P215">
        <f t="shared" si="44"/>
        <v>0.63836578359341878</v>
      </c>
      <c r="V215">
        <v>3283.5</v>
      </c>
      <c r="X215">
        <f>V215-W201</f>
        <v>271.3125</v>
      </c>
      <c r="Y215">
        <f>SUM(X201:X215)</f>
        <v>-259.51249999999982</v>
      </c>
      <c r="AA215">
        <f t="shared" si="47"/>
        <v>73610.47265625</v>
      </c>
      <c r="AL215">
        <v>3034.5</v>
      </c>
      <c r="AN215">
        <f>AL215-AM214</f>
        <v>-15.200000000000273</v>
      </c>
      <c r="AO215">
        <f>SUM(AN214:AN215)</f>
        <v>-50.300000000000637</v>
      </c>
      <c r="AQ215">
        <f>POWER(AN215,2)</f>
        <v>231.04000000000829</v>
      </c>
    </row>
    <row r="216" spans="1:63">
      <c r="A216" s="1">
        <v>215</v>
      </c>
      <c r="B216">
        <v>1578.2</v>
      </c>
      <c r="C216">
        <f t="shared" si="42"/>
        <v>1631.5034999999998</v>
      </c>
      <c r="D216">
        <f t="shared" si="38"/>
        <v>0.419921875</v>
      </c>
      <c r="E216">
        <f t="shared" si="39"/>
        <v>702.48417295714228</v>
      </c>
      <c r="F216">
        <f t="shared" si="40"/>
        <v>-53.303499999999758</v>
      </c>
      <c r="G216" t="s">
        <v>221</v>
      </c>
      <c r="H216">
        <v>168.63373333333334</v>
      </c>
      <c r="I216">
        <f t="shared" si="37"/>
        <v>-221.9372333333331</v>
      </c>
      <c r="J216">
        <f t="shared" si="45"/>
        <v>0.74135090609555476</v>
      </c>
      <c r="K216">
        <f t="shared" si="41"/>
        <v>15.599999999999909</v>
      </c>
      <c r="L216">
        <f t="shared" si="43"/>
        <v>1657.7400000000002</v>
      </c>
      <c r="M216">
        <f>AVERAGE(B216:B265)</f>
        <v>1795.0820000000003</v>
      </c>
      <c r="N216">
        <f t="shared" si="46"/>
        <v>6.3800000000003365</v>
      </c>
      <c r="O216">
        <v>-225.17056666666653</v>
      </c>
      <c r="P216">
        <f t="shared" si="44"/>
        <v>74.135090609555476</v>
      </c>
      <c r="V216">
        <v>3271.7</v>
      </c>
      <c r="X216">
        <f>V216-W201</f>
        <v>259.51249999999982</v>
      </c>
      <c r="Y216">
        <f>SUM(X201:X216)</f>
        <v>0</v>
      </c>
      <c r="AA216">
        <f t="shared" si="47"/>
        <v>67346.737656249912</v>
      </c>
      <c r="AL216">
        <v>3114.3</v>
      </c>
      <c r="AN216">
        <f>AL216-AM214</f>
        <v>64.599999999999909</v>
      </c>
      <c r="AO216">
        <f>SUM(AN214:AN216)</f>
        <v>14.299999999999272</v>
      </c>
      <c r="AQ216">
        <f>POWER(AN216,2)</f>
        <v>4173.159999999988</v>
      </c>
    </row>
    <row r="217" spans="1:63">
      <c r="A217" s="1">
        <v>216</v>
      </c>
      <c r="B217">
        <v>1593.8</v>
      </c>
      <c r="C217">
        <f t="shared" si="42"/>
        <v>1634.7543999999998</v>
      </c>
      <c r="D217">
        <f t="shared" si="38"/>
        <v>0.421875</v>
      </c>
      <c r="E217">
        <f t="shared" si="39"/>
        <v>1802.9977436577767</v>
      </c>
      <c r="F217">
        <f t="shared" si="40"/>
        <v>-40.95439999999985</v>
      </c>
      <c r="G217" t="s">
        <v>222</v>
      </c>
      <c r="H217">
        <v>175.06061111111109</v>
      </c>
      <c r="I217">
        <f t="shared" si="37"/>
        <v>-216.01501111111094</v>
      </c>
      <c r="J217">
        <f t="shared" si="45"/>
        <v>0.97879282218596497</v>
      </c>
      <c r="K217">
        <f t="shared" si="41"/>
        <v>-14.599999999999909</v>
      </c>
      <c r="L217">
        <f t="shared" si="43"/>
        <v>1666.1399999999999</v>
      </c>
      <c r="M217">
        <f>AVERAGE(B217:B267)</f>
        <v>1802.258823529412</v>
      </c>
      <c r="N217">
        <f t="shared" si="46"/>
        <v>8.3999999999996362</v>
      </c>
      <c r="O217">
        <v>-221.9372333333331</v>
      </c>
      <c r="P217">
        <f t="shared" si="44"/>
        <v>97.879282218596501</v>
      </c>
      <c r="AL217">
        <v>3035.4</v>
      </c>
      <c r="AN217">
        <f>AL217-AM214</f>
        <v>-14.300000000000182</v>
      </c>
      <c r="AO217">
        <f>SUM(AN214:AN217)</f>
        <v>-9.0949470177292824E-13</v>
      </c>
      <c r="AQ217">
        <f>POWER(AN217,2)</f>
        <v>204.49000000000521</v>
      </c>
    </row>
    <row r="218" spans="1:63">
      <c r="A218" s="1">
        <v>217</v>
      </c>
      <c r="B218">
        <v>1579.2</v>
      </c>
      <c r="C218">
        <f t="shared" si="42"/>
        <v>1638.0052999999998</v>
      </c>
      <c r="D218">
        <f t="shared" si="38"/>
        <v>0.423828125</v>
      </c>
      <c r="E218">
        <f t="shared" si="39"/>
        <v>770.96925308846039</v>
      </c>
      <c r="F218">
        <f t="shared" si="40"/>
        <v>-58.805299999999761</v>
      </c>
      <c r="G218" t="s">
        <v>223</v>
      </c>
      <c r="H218">
        <v>175.60114444444446</v>
      </c>
      <c r="I218">
        <f t="shared" si="37"/>
        <v>-234.40644444444422</v>
      </c>
      <c r="J218">
        <f t="shared" si="45"/>
        <v>-0.92451874366767406</v>
      </c>
      <c r="K218">
        <f t="shared" si="41"/>
        <v>12.700000000000045</v>
      </c>
      <c r="L218">
        <f t="shared" si="43"/>
        <v>1674.5</v>
      </c>
      <c r="M218">
        <f>AVERAGE(B218:B267)</f>
        <v>1806.4280000000006</v>
      </c>
      <c r="N218">
        <f t="shared" si="46"/>
        <v>8.3600000000001273</v>
      </c>
      <c r="O218">
        <v>-216.01501111111094</v>
      </c>
      <c r="P218">
        <f t="shared" si="44"/>
        <v>-92.451874366767413</v>
      </c>
      <c r="T218" t="s">
        <v>614</v>
      </c>
      <c r="U218">
        <f>COUNT(B497:B512)</f>
        <v>16</v>
      </c>
      <c r="V218" cm="1">
        <f t="array" ref="V218:V233" xml:space="preserve"> (B497:B512)</f>
        <v>3357.3</v>
      </c>
      <c r="W218">
        <f>AVERAGE(_xlfn.ANCHORARRAY(V218))</f>
        <v>3370.8750000000005</v>
      </c>
      <c r="X218">
        <f>V218-W218</f>
        <v>-13.575000000000273</v>
      </c>
      <c r="Y218">
        <f>X218</f>
        <v>-13.575000000000273</v>
      </c>
      <c r="Z218">
        <f>MAX(Y218:Y233)-MIN(Y218:Y233)</f>
        <v>285.59999999999718</v>
      </c>
      <c r="AA218">
        <f t="shared" ref="AA218:AA233" si="48">POWER(X218,2)</f>
        <v>184.2806250000074</v>
      </c>
      <c r="AB218">
        <f>SQRT(SUM(AA218:AA233)/COUNT(AA218:AA233))</f>
        <v>63.740935630095748</v>
      </c>
      <c r="AC218">
        <f>Z218/AB218</f>
        <v>4.4806370847363128</v>
      </c>
      <c r="AD218">
        <f>LOG(AC218)</f>
        <v>0.65133976906831037</v>
      </c>
      <c r="AE218">
        <f>LOG(U218)</f>
        <v>1.2041199826559248</v>
      </c>
    </row>
    <row r="219" spans="1:63">
      <c r="A219" s="1">
        <v>218</v>
      </c>
      <c r="B219">
        <v>1591.9</v>
      </c>
      <c r="C219">
        <f t="shared" si="42"/>
        <v>1641.2561999999998</v>
      </c>
      <c r="D219">
        <f t="shared" si="38"/>
        <v>0.42578125</v>
      </c>
      <c r="E219">
        <f t="shared" si="39"/>
        <v>1714.2752280674015</v>
      </c>
      <c r="F219">
        <f t="shared" si="40"/>
        <v>-49.356199999999717</v>
      </c>
      <c r="G219" t="s">
        <v>224</v>
      </c>
      <c r="H219">
        <v>183.85024444444448</v>
      </c>
      <c r="I219">
        <f t="shared" si="37"/>
        <v>-233.2064444444442</v>
      </c>
      <c r="J219">
        <f t="shared" si="45"/>
        <v>0.79778880582951472</v>
      </c>
      <c r="K219">
        <f t="shared" si="41"/>
        <v>62.699999999999818</v>
      </c>
      <c r="L219">
        <f t="shared" si="43"/>
        <v>1685.03</v>
      </c>
      <c r="M219">
        <f>AVERAGE(B219:B269)</f>
        <v>1812.4666666666667</v>
      </c>
      <c r="N219">
        <f t="shared" si="46"/>
        <v>10.529999999999973</v>
      </c>
      <c r="O219">
        <v>-234.40644444444422</v>
      </c>
      <c r="P219">
        <f t="shared" si="44"/>
        <v>79.778880582951473</v>
      </c>
      <c r="V219">
        <v>3200.2</v>
      </c>
      <c r="X219">
        <f>V219-W218</f>
        <v>-170.67500000000064</v>
      </c>
      <c r="Y219">
        <f>SUM(X218:X219)</f>
        <v>-184.25000000000091</v>
      </c>
      <c r="AA219">
        <f t="shared" si="48"/>
        <v>29129.955625000217</v>
      </c>
      <c r="AJ219" t="s">
        <v>654</v>
      </c>
      <c r="AK219">
        <f>COUNT(B493:B496)</f>
        <v>4</v>
      </c>
      <c r="AL219" cm="1">
        <f t="array" ref="AL219:AL222">(B493:B496)</f>
        <v>3230</v>
      </c>
      <c r="AM219">
        <f>AVERAGE(_xlfn.ANCHORARRAY(AL219))</f>
        <v>3274.625</v>
      </c>
      <c r="AN219">
        <f>AL219-AM219</f>
        <v>-44.625</v>
      </c>
      <c r="AO219">
        <f>SUM(AN219)</f>
        <v>-44.625</v>
      </c>
      <c r="AP219">
        <f>MAX(AO219:AO222)-MIN(AO219:AO222)</f>
        <v>47.550000000000182</v>
      </c>
      <c r="AQ219">
        <f>POWER(AN219,2)</f>
        <v>1991.390625</v>
      </c>
      <c r="AR219">
        <f>SQRT(SUM(AQ219:AQ222)/COUNT(AQ219:AQ222))</f>
        <v>29.893425280486071</v>
      </c>
      <c r="AS219">
        <f>AP219/AR219</f>
        <v>1.5906507719956746</v>
      </c>
      <c r="AT219">
        <f>LOG(AS219)</f>
        <v>0.2015748405872802</v>
      </c>
      <c r="AU219">
        <f>LOG(AK219)</f>
        <v>0.6020599913279624</v>
      </c>
    </row>
    <row r="220" spans="1:63">
      <c r="A220" s="1">
        <v>219</v>
      </c>
      <c r="B220">
        <v>1654.6</v>
      </c>
      <c r="C220">
        <f t="shared" si="42"/>
        <v>1644.5070999999998</v>
      </c>
      <c r="D220">
        <f t="shared" si="38"/>
        <v>0.427734375</v>
      </c>
      <c r="E220">
        <f t="shared" si="39"/>
        <v>1398.006700815959</v>
      </c>
      <c r="F220">
        <f t="shared" si="40"/>
        <v>10.0929000000001</v>
      </c>
      <c r="G220" t="s">
        <v>225</v>
      </c>
      <c r="H220">
        <v>187.5549</v>
      </c>
      <c r="I220">
        <f t="shared" si="37"/>
        <v>-177.4619999999999</v>
      </c>
      <c r="J220">
        <f t="shared" si="45"/>
        <v>3.7894355131149418</v>
      </c>
      <c r="K220">
        <f t="shared" si="41"/>
        <v>-82.799999999999955</v>
      </c>
      <c r="L220">
        <f t="shared" si="43"/>
        <v>1695.4849999999999</v>
      </c>
      <c r="M220">
        <f>AVERAGE(B220:B269)</f>
        <v>1816.8780000000002</v>
      </c>
      <c r="N220">
        <f t="shared" si="46"/>
        <v>10.454999999999927</v>
      </c>
      <c r="O220">
        <v>-233.2064444444442</v>
      </c>
      <c r="P220">
        <f t="shared" si="44"/>
        <v>378.94355131149416</v>
      </c>
      <c r="V220">
        <v>3379.3</v>
      </c>
      <c r="X220">
        <f>V220-W218</f>
        <v>8.4249999999997272</v>
      </c>
      <c r="Y220">
        <f>SUM(X218:X220)</f>
        <v>-175.82500000000118</v>
      </c>
      <c r="AA220">
        <f t="shared" si="48"/>
        <v>70.980624999995399</v>
      </c>
      <c r="AL220">
        <v>3313.3</v>
      </c>
      <c r="AN220">
        <f>AL220-AM219</f>
        <v>38.675000000000182</v>
      </c>
      <c r="AO220">
        <f>SUM(AN219:AN220)</f>
        <v>-5.9499999999998181</v>
      </c>
      <c r="AQ220">
        <f>POWER(AN220,2)</f>
        <v>1495.7556250000141</v>
      </c>
    </row>
    <row r="221" spans="1:63">
      <c r="A221" s="1">
        <v>220</v>
      </c>
      <c r="B221">
        <v>1571.8</v>
      </c>
      <c r="C221">
        <f t="shared" si="42"/>
        <v>1647.7579999999998</v>
      </c>
      <c r="D221">
        <f t="shared" si="38"/>
        <v>0.4296875</v>
      </c>
      <c r="E221">
        <f t="shared" si="39"/>
        <v>1433.9326979592004</v>
      </c>
      <c r="F221">
        <f t="shared" si="40"/>
        <v>-75.957999999999856</v>
      </c>
      <c r="G221" t="s">
        <v>226</v>
      </c>
      <c r="H221">
        <v>181.60400000000004</v>
      </c>
      <c r="I221">
        <f t="shared" si="37"/>
        <v>-257.5619999999999</v>
      </c>
      <c r="J221">
        <f t="shared" si="45"/>
        <v>-5.2678457819060922</v>
      </c>
      <c r="K221">
        <f t="shared" si="41"/>
        <v>104.29999999999995</v>
      </c>
      <c r="L221">
        <f t="shared" si="43"/>
        <v>1702.85</v>
      </c>
      <c r="M221">
        <f>AVERAGE(B221:B271)</f>
        <v>1820.7372549019608</v>
      </c>
      <c r="N221">
        <f t="shared" si="46"/>
        <v>7.3650000000000091</v>
      </c>
      <c r="O221">
        <v>-177.4619999999999</v>
      </c>
      <c r="P221">
        <f t="shared" si="44"/>
        <v>-526.78457819060918</v>
      </c>
      <c r="V221">
        <v>3315.4</v>
      </c>
      <c r="X221">
        <f>V221-W218</f>
        <v>-55.475000000000364</v>
      </c>
      <c r="Y221">
        <f>SUM(X218:X221)</f>
        <v>-231.30000000000155</v>
      </c>
      <c r="AA221">
        <f t="shared" si="48"/>
        <v>3077.4756250000405</v>
      </c>
      <c r="AL221">
        <v>3283.5</v>
      </c>
      <c r="AN221">
        <f>AL221-AM219</f>
        <v>8.875</v>
      </c>
      <c r="AO221">
        <f>SUM(AN219:AN221)</f>
        <v>2.9250000000001819</v>
      </c>
      <c r="AQ221">
        <f>POWER(AN221,2)</f>
        <v>78.765625</v>
      </c>
    </row>
    <row r="222" spans="1:63">
      <c r="A222" s="1">
        <v>221</v>
      </c>
      <c r="B222">
        <v>1676.1</v>
      </c>
      <c r="C222">
        <f t="shared" si="42"/>
        <v>1651.0088999999998</v>
      </c>
      <c r="D222">
        <f t="shared" si="38"/>
        <v>0.431640625</v>
      </c>
      <c r="E222">
        <f t="shared" si="39"/>
        <v>1694.7341080059293</v>
      </c>
      <c r="F222">
        <f t="shared" si="40"/>
        <v>25.091100000000097</v>
      </c>
      <c r="G222" t="s">
        <v>227</v>
      </c>
      <c r="H222">
        <v>174.28643333333338</v>
      </c>
      <c r="I222">
        <f t="shared" si="37"/>
        <v>-149.19533333333328</v>
      </c>
      <c r="J222">
        <f t="shared" si="45"/>
        <v>6.2227790704611872</v>
      </c>
      <c r="K222">
        <f t="shared" si="41"/>
        <v>-156.59999999999991</v>
      </c>
      <c r="L222">
        <f t="shared" si="43"/>
        <v>1715.0400000000002</v>
      </c>
      <c r="M222">
        <f>AVERAGE(B222:B271)</f>
        <v>1825.7160000000001</v>
      </c>
      <c r="N222">
        <f t="shared" si="46"/>
        <v>12.190000000000282</v>
      </c>
      <c r="O222">
        <v>-257.5619999999999</v>
      </c>
      <c r="P222">
        <f t="shared" si="44"/>
        <v>622.27790704611868</v>
      </c>
      <c r="V222">
        <v>3332.1</v>
      </c>
      <c r="X222">
        <f>V222-W218</f>
        <v>-38.775000000000546</v>
      </c>
      <c r="Y222">
        <f>SUM(X218:X222)</f>
        <v>-270.07500000000209</v>
      </c>
      <c r="AA222">
        <f t="shared" si="48"/>
        <v>1503.5006250000424</v>
      </c>
      <c r="AL222">
        <v>3271.7</v>
      </c>
      <c r="AN222">
        <f>AL222-AM219</f>
        <v>-2.9250000000001819</v>
      </c>
      <c r="AO222">
        <f>SUM(AN219:AN222)</f>
        <v>0</v>
      </c>
      <c r="AQ222">
        <f>POWER(AN222,2)</f>
        <v>8.555625000001065</v>
      </c>
    </row>
    <row r="223" spans="1:63">
      <c r="A223" s="1">
        <v>222</v>
      </c>
      <c r="B223">
        <v>1519.5</v>
      </c>
      <c r="C223">
        <f t="shared" si="42"/>
        <v>1654.2597999999998</v>
      </c>
      <c r="D223">
        <f t="shared" si="38"/>
        <v>0.43359375</v>
      </c>
      <c r="E223">
        <f t="shared" si="39"/>
        <v>1275.7305573219585</v>
      </c>
      <c r="F223">
        <f t="shared" si="40"/>
        <v>-134.75979999999981</v>
      </c>
      <c r="G223" t="s">
        <v>228</v>
      </c>
      <c r="H223">
        <v>168.29108888888885</v>
      </c>
      <c r="I223">
        <f t="shared" si="37"/>
        <v>-303.05088888888866</v>
      </c>
      <c r="J223">
        <f t="shared" si="45"/>
        <v>-10.30602171767028</v>
      </c>
      <c r="K223">
        <f t="shared" si="41"/>
        <v>-31.400000000000091</v>
      </c>
      <c r="L223">
        <f t="shared" si="43"/>
        <v>1722.28</v>
      </c>
      <c r="M223">
        <f>AVERAGE(B223:B273)</f>
        <v>1827.7647058823529</v>
      </c>
      <c r="N223">
        <f t="shared" si="46"/>
        <v>7.2399999999997817</v>
      </c>
      <c r="O223">
        <v>-149.19533333333328</v>
      </c>
      <c r="P223">
        <f t="shared" si="44"/>
        <v>-1030.602171767028</v>
      </c>
      <c r="V223">
        <v>3438.1</v>
      </c>
      <c r="X223">
        <f>V223-W218</f>
        <v>67.224999999999454</v>
      </c>
      <c r="Y223">
        <f>SUM(X218:X223)</f>
        <v>-202.85000000000264</v>
      </c>
      <c r="AA223">
        <f t="shared" si="48"/>
        <v>4519.2006249999267</v>
      </c>
    </row>
    <row r="224" spans="1:63">
      <c r="A224" s="1">
        <v>223</v>
      </c>
      <c r="B224">
        <v>1488.1</v>
      </c>
      <c r="C224">
        <f t="shared" si="42"/>
        <v>1657.5106999999998</v>
      </c>
      <c r="D224">
        <f t="shared" si="38"/>
        <v>0.435546875</v>
      </c>
      <c r="E224">
        <f t="shared" si="39"/>
        <v>1565.7169159223472</v>
      </c>
      <c r="F224">
        <f t="shared" si="40"/>
        <v>-169.41069999999991</v>
      </c>
      <c r="G224" t="s">
        <v>229</v>
      </c>
      <c r="H224">
        <v>163.41796666666673</v>
      </c>
      <c r="I224">
        <f t="shared" si="37"/>
        <v>-332.82866666666666</v>
      </c>
      <c r="J224">
        <f t="shared" si="45"/>
        <v>-2.1100732477656132</v>
      </c>
      <c r="K224">
        <f t="shared" si="41"/>
        <v>166</v>
      </c>
      <c r="L224">
        <f t="shared" si="43"/>
        <v>1741.81</v>
      </c>
      <c r="M224">
        <f>AVERAGE(B224:B273)</f>
        <v>1833.93</v>
      </c>
      <c r="N224">
        <f t="shared" si="46"/>
        <v>19.529999999999973</v>
      </c>
      <c r="O224">
        <v>-303.05088888888866</v>
      </c>
      <c r="P224">
        <f t="shared" si="44"/>
        <v>-211.00732477656132</v>
      </c>
      <c r="V224">
        <v>3371.4</v>
      </c>
      <c r="X224">
        <f>V224-W218</f>
        <v>0.5249999999996362</v>
      </c>
      <c r="Y224">
        <f>SUM(X218:X224)</f>
        <v>-202.325000000003</v>
      </c>
      <c r="AA224">
        <f t="shared" si="48"/>
        <v>0.27562499999961804</v>
      </c>
      <c r="AJ224" t="s">
        <v>655</v>
      </c>
      <c r="AK224">
        <f>COUNT(B497:B500)</f>
        <v>4</v>
      </c>
      <c r="AL224" cm="1">
        <f t="array" ref="AL224:AL227">(B497:B500)</f>
        <v>3357.3</v>
      </c>
      <c r="AM224">
        <f>AVERAGE(_xlfn.ANCHORARRAY(AL224))</f>
        <v>3313.0499999999997</v>
      </c>
      <c r="AN224">
        <f>AL224-AM224</f>
        <v>44.250000000000455</v>
      </c>
      <c r="AO224">
        <f>SUM(AN224)</f>
        <v>44.250000000000455</v>
      </c>
      <c r="AP224">
        <f>MAX(AO224:AO227)-MIN(AO224:AO227)</f>
        <v>112.84999999999991</v>
      </c>
      <c r="AQ224">
        <f>POWER(AN224,2)</f>
        <v>1958.0625000000402</v>
      </c>
      <c r="AR224">
        <f>SQRT(SUM(AQ224:AQ227)/COUNT(AQ224:AQ227))</f>
        <v>69.079247969270924</v>
      </c>
      <c r="AS224">
        <f>AP224/AR224</f>
        <v>1.6336309864027454</v>
      </c>
      <c r="AT224">
        <f>LOG(AS224)</f>
        <v>0.21315396243633314</v>
      </c>
      <c r="AU224">
        <f>LOG(AK224)</f>
        <v>0.6020599913279624</v>
      </c>
    </row>
    <row r="225" spans="1:47">
      <c r="A225" s="1">
        <v>224</v>
      </c>
      <c r="B225">
        <v>1654.1</v>
      </c>
      <c r="C225">
        <f t="shared" si="42"/>
        <v>1660.7615999999998</v>
      </c>
      <c r="D225">
        <f t="shared" si="38"/>
        <v>0.4375</v>
      </c>
      <c r="E225">
        <f t="shared" si="39"/>
        <v>654.72087025319502</v>
      </c>
      <c r="F225">
        <f t="shared" si="40"/>
        <v>-6.6615999999999076</v>
      </c>
      <c r="G225" t="s">
        <v>230</v>
      </c>
      <c r="H225">
        <v>168.63373333333334</v>
      </c>
      <c r="I225">
        <f t="shared" si="37"/>
        <v>-175.29533333333325</v>
      </c>
      <c r="J225">
        <f t="shared" si="45"/>
        <v>10.035668943836527</v>
      </c>
      <c r="K225">
        <f t="shared" si="41"/>
        <v>-8.5999999999999091</v>
      </c>
      <c r="L225">
        <f t="shared" si="43"/>
        <v>1766.7</v>
      </c>
      <c r="M225">
        <f>AVERAGE(B225:B275)</f>
        <v>1836.109803921569</v>
      </c>
      <c r="N225">
        <f t="shared" si="46"/>
        <v>24.8900000000001</v>
      </c>
      <c r="O225">
        <v>-332.82866666666666</v>
      </c>
      <c r="P225">
        <f t="shared" si="44"/>
        <v>1003.5668943836527</v>
      </c>
      <c r="V225">
        <v>3287.6</v>
      </c>
      <c r="X225">
        <f>V225-W218</f>
        <v>-83.275000000000546</v>
      </c>
      <c r="Y225">
        <f>SUM(X218:X225)</f>
        <v>-285.60000000000355</v>
      </c>
      <c r="AA225">
        <f t="shared" si="48"/>
        <v>6934.725625000091</v>
      </c>
      <c r="AL225">
        <v>3200.2</v>
      </c>
      <c r="AN225">
        <f>AL225-AM224</f>
        <v>-112.84999999999991</v>
      </c>
      <c r="AO225">
        <f>SUM(AN224:AN225)</f>
        <v>-68.599999999999454</v>
      </c>
      <c r="AQ225">
        <f>POWER(AN225,2)</f>
        <v>12735.122499999979</v>
      </c>
    </row>
    <row r="226" spans="1:47">
      <c r="A226" s="1">
        <v>225</v>
      </c>
      <c r="B226">
        <v>1645.5</v>
      </c>
      <c r="C226">
        <f t="shared" si="42"/>
        <v>1664.0124999999998</v>
      </c>
      <c r="D226">
        <f t="shared" si="38"/>
        <v>0.439453125</v>
      </c>
      <c r="E226">
        <f t="shared" si="39"/>
        <v>1492.9331219615822</v>
      </c>
      <c r="F226">
        <f t="shared" si="40"/>
        <v>-18.512499999999818</v>
      </c>
      <c r="G226" t="s">
        <v>231</v>
      </c>
      <c r="H226">
        <v>175.06061111111109</v>
      </c>
      <c r="I226">
        <f t="shared" si="37"/>
        <v>-193.5731111111109</v>
      </c>
      <c r="J226">
        <f t="shared" si="45"/>
        <v>-0.52263749620175681</v>
      </c>
      <c r="K226">
        <f t="shared" si="41"/>
        <v>106.59999999999991</v>
      </c>
      <c r="L226">
        <f t="shared" si="43"/>
        <v>1785.395</v>
      </c>
      <c r="M226">
        <f>AVERAGE(B226:B275)</f>
        <v>1839.7500000000002</v>
      </c>
      <c r="N226">
        <f t="shared" si="46"/>
        <v>18.694999999999936</v>
      </c>
      <c r="O226">
        <v>-175.29533333333325</v>
      </c>
      <c r="P226">
        <f t="shared" si="44"/>
        <v>-52.26374962017568</v>
      </c>
      <c r="V226">
        <v>3398.8</v>
      </c>
      <c r="X226">
        <f>V226-W218</f>
        <v>27.924999999999727</v>
      </c>
      <c r="Y226">
        <f>SUM(X218:X226)</f>
        <v>-257.67500000000382</v>
      </c>
      <c r="AA226">
        <f t="shared" si="48"/>
        <v>779.80562499998473</v>
      </c>
      <c r="AL226">
        <v>3379.3</v>
      </c>
      <c r="AN226">
        <f>AL226-AM224</f>
        <v>66.250000000000455</v>
      </c>
      <c r="AO226">
        <f>SUM(AN224:AN226)</f>
        <v>-2.3499999999989996</v>
      </c>
      <c r="AQ226">
        <f>POWER(AN226,2)</f>
        <v>4389.06250000006</v>
      </c>
    </row>
    <row r="227" spans="1:47">
      <c r="A227" s="1">
        <v>226</v>
      </c>
      <c r="B227">
        <v>1752.1</v>
      </c>
      <c r="C227">
        <f t="shared" si="42"/>
        <v>1667.2633999999998</v>
      </c>
      <c r="D227">
        <f t="shared" si="38"/>
        <v>0.44140625</v>
      </c>
      <c r="E227">
        <f t="shared" si="39"/>
        <v>1280.4451857362806</v>
      </c>
      <c r="F227">
        <f t="shared" si="40"/>
        <v>84.836600000000089</v>
      </c>
      <c r="G227" t="s">
        <v>232</v>
      </c>
      <c r="H227">
        <v>175.60114444444446</v>
      </c>
      <c r="I227">
        <f t="shared" si="37"/>
        <v>-90.764544444444368</v>
      </c>
      <c r="J227">
        <f t="shared" si="45"/>
        <v>6.0841276182866233</v>
      </c>
      <c r="K227">
        <f t="shared" si="41"/>
        <v>-52</v>
      </c>
      <c r="L227">
        <f t="shared" si="43"/>
        <v>1800.6100000000001</v>
      </c>
      <c r="M227">
        <f>AVERAGE(B227:B277)</f>
        <v>1839.3784313725489</v>
      </c>
      <c r="N227">
        <f t="shared" si="46"/>
        <v>15.215000000000146</v>
      </c>
      <c r="O227">
        <v>-193.5731111111109</v>
      </c>
      <c r="P227">
        <f t="shared" si="44"/>
        <v>608.41276182866238</v>
      </c>
      <c r="V227">
        <v>3406.5</v>
      </c>
      <c r="X227">
        <f>V227-W218</f>
        <v>35.624999999999545</v>
      </c>
      <c r="Y227">
        <f>SUM(X218:X227)</f>
        <v>-222.05000000000427</v>
      </c>
      <c r="AA227">
        <f t="shared" si="48"/>
        <v>1269.1406249999677</v>
      </c>
      <c r="AL227">
        <v>3315.4</v>
      </c>
      <c r="AN227">
        <f>AL227-AM224</f>
        <v>2.3500000000003638</v>
      </c>
      <c r="AO227">
        <f>SUM(AN224:AN227)</f>
        <v>1.3642420526593924E-12</v>
      </c>
      <c r="AQ227">
        <f>POWER(AN227,2)</f>
        <v>5.5225000000017097</v>
      </c>
    </row>
    <row r="228" spans="1:47">
      <c r="A228" s="1">
        <v>227</v>
      </c>
      <c r="B228">
        <v>1700.1</v>
      </c>
      <c r="C228">
        <f t="shared" si="42"/>
        <v>1670.5142999999998</v>
      </c>
      <c r="D228">
        <f t="shared" si="38"/>
        <v>0.443359375</v>
      </c>
      <c r="E228">
        <f t="shared" si="39"/>
        <v>1420.8495185049567</v>
      </c>
      <c r="F228">
        <f t="shared" si="40"/>
        <v>29.585700000000088</v>
      </c>
      <c r="G228" t="s">
        <v>233</v>
      </c>
      <c r="H228">
        <v>183.85024444444448</v>
      </c>
      <c r="I228">
        <f t="shared" si="37"/>
        <v>-154.2645444444444</v>
      </c>
      <c r="J228">
        <f t="shared" si="45"/>
        <v>-3.0586436091994589</v>
      </c>
      <c r="K228">
        <f t="shared" si="41"/>
        <v>39.600000000000136</v>
      </c>
      <c r="L228">
        <f t="shared" si="43"/>
        <v>1810.3550000000002</v>
      </c>
      <c r="M228">
        <f>AVERAGE(B228:B277)</f>
        <v>1841.124</v>
      </c>
      <c r="N228">
        <f t="shared" si="46"/>
        <v>9.7450000000001182</v>
      </c>
      <c r="O228">
        <v>-90.764544444444368</v>
      </c>
      <c r="P228">
        <f t="shared" si="44"/>
        <v>-305.86436091994591</v>
      </c>
      <c r="V228">
        <v>3400.9</v>
      </c>
      <c r="X228">
        <f>V228-W218</f>
        <v>30.024999999999636</v>
      </c>
      <c r="Y228">
        <f>SUM(X218:X228)</f>
        <v>-192.02500000000464</v>
      </c>
      <c r="AA228">
        <f t="shared" si="48"/>
        <v>901.50062499997819</v>
      </c>
    </row>
    <row r="229" spans="1:47">
      <c r="A229" s="1">
        <v>228</v>
      </c>
      <c r="B229">
        <v>1739.7</v>
      </c>
      <c r="C229">
        <f t="shared" si="42"/>
        <v>1673.7651999999998</v>
      </c>
      <c r="D229">
        <f t="shared" si="38"/>
        <v>0.4453125</v>
      </c>
      <c r="E229">
        <f t="shared" si="39"/>
        <v>1511.8677088617433</v>
      </c>
      <c r="F229">
        <f t="shared" si="40"/>
        <v>65.934800000000223</v>
      </c>
      <c r="G229" t="s">
        <v>234</v>
      </c>
      <c r="H229">
        <v>187.5549</v>
      </c>
      <c r="I229">
        <f t="shared" si="37"/>
        <v>-121.62009999999978</v>
      </c>
      <c r="J229">
        <f t="shared" si="45"/>
        <v>2.2762545266425325</v>
      </c>
      <c r="K229">
        <f t="shared" si="41"/>
        <v>-32.5</v>
      </c>
      <c r="L229">
        <f t="shared" si="43"/>
        <v>1824.095</v>
      </c>
      <c r="M229">
        <f>AVERAGE(B229:B279)</f>
        <v>1839.6294117647055</v>
      </c>
      <c r="N229">
        <f t="shared" si="46"/>
        <v>13.739999999999782</v>
      </c>
      <c r="O229">
        <v>-154.2645444444444</v>
      </c>
      <c r="P229">
        <f t="shared" si="44"/>
        <v>227.62545266425326</v>
      </c>
      <c r="V229">
        <v>3379.6</v>
      </c>
      <c r="X229">
        <f>V229-W218</f>
        <v>8.7249999999994543</v>
      </c>
      <c r="Y229">
        <f>SUM(X218:X229)</f>
        <v>-183.30000000000518</v>
      </c>
      <c r="AA229">
        <f t="shared" si="48"/>
        <v>76.125624999990478</v>
      </c>
      <c r="AJ229" t="s">
        <v>656</v>
      </c>
      <c r="AK229">
        <f>COUNT(B501:B504)</f>
        <v>4</v>
      </c>
      <c r="AL229" s="25" cm="1">
        <f t="array" ref="AL229:AL232">(B501:B504)</f>
        <v>3332.1</v>
      </c>
      <c r="AM229">
        <f>AVERAGE(_xlfn.ANCHORARRAY(AL229))</f>
        <v>3357.3</v>
      </c>
      <c r="AN229">
        <f>AL229-AM229</f>
        <v>-25.200000000000273</v>
      </c>
      <c r="AO229">
        <f>SUM(AN229)</f>
        <v>-25.200000000000273</v>
      </c>
      <c r="AP229">
        <f>MAX(AO229:AO232)-MIN(AO229:AO232)</f>
        <v>94.899999999999636</v>
      </c>
      <c r="AQ229">
        <f>POWER(AN229,2)</f>
        <v>635.04000000001372</v>
      </c>
      <c r="AR229">
        <f>SQRT(SUM(AQ229:AQ232)/COUNT(AQ229:AQ232))</f>
        <v>55.27336609977722</v>
      </c>
      <c r="AS229">
        <f>AP229/AR229</f>
        <v>1.7169209457714234</v>
      </c>
      <c r="AT229">
        <f>LOG(AS229)</f>
        <v>0.23475029888506146</v>
      </c>
      <c r="AU229">
        <f>LOG(AK229)</f>
        <v>0.6020599913279624</v>
      </c>
    </row>
    <row r="230" spans="1:47">
      <c r="A230" s="1">
        <v>229</v>
      </c>
      <c r="B230">
        <v>1707.2</v>
      </c>
      <c r="C230">
        <f t="shared" si="42"/>
        <v>1677.0160999999998</v>
      </c>
      <c r="D230">
        <f t="shared" si="38"/>
        <v>0.447265625</v>
      </c>
      <c r="E230">
        <f t="shared" si="39"/>
        <v>1325.1676240193333</v>
      </c>
      <c r="F230">
        <f t="shared" si="40"/>
        <v>30.183900000000222</v>
      </c>
      <c r="G230" t="s">
        <v>235</v>
      </c>
      <c r="H230">
        <v>181.60400000000004</v>
      </c>
      <c r="I230">
        <f t="shared" si="37"/>
        <v>-151.42009999999982</v>
      </c>
      <c r="J230">
        <f t="shared" si="45"/>
        <v>-1.9037019681349576</v>
      </c>
      <c r="K230">
        <f t="shared" si="41"/>
        <v>19.399999999999864</v>
      </c>
      <c r="L230">
        <f t="shared" si="43"/>
        <v>1833.825</v>
      </c>
      <c r="M230">
        <f>AVERAGE(B230:B279)</f>
        <v>1841.6279999999997</v>
      </c>
      <c r="N230">
        <f t="shared" si="46"/>
        <v>9.7300000000000182</v>
      </c>
      <c r="O230">
        <v>-121.62009999999978</v>
      </c>
      <c r="P230">
        <f t="shared" si="44"/>
        <v>-190.37019681349577</v>
      </c>
      <c r="V230">
        <v>3399.8</v>
      </c>
      <c r="X230">
        <f>V230-W218</f>
        <v>28.924999999999727</v>
      </c>
      <c r="Y230">
        <f>SUM(X218:X230)</f>
        <v>-154.37500000000546</v>
      </c>
      <c r="AA230">
        <f t="shared" si="48"/>
        <v>836.65562499998418</v>
      </c>
      <c r="AL230">
        <v>3438.1</v>
      </c>
      <c r="AN230">
        <f>AL230-AM229</f>
        <v>80.799999999999727</v>
      </c>
      <c r="AO230">
        <f>SUM(AN229:AN230)</f>
        <v>55.599999999999454</v>
      </c>
      <c r="AQ230">
        <f>POWER(AN230,2)</f>
        <v>6528.6399999999558</v>
      </c>
    </row>
    <row r="231" spans="1:47">
      <c r="A231" s="1">
        <v>230</v>
      </c>
      <c r="B231">
        <v>1726.6</v>
      </c>
      <c r="C231">
        <f t="shared" si="42"/>
        <v>1680.2669999999998</v>
      </c>
      <c r="D231">
        <f t="shared" si="38"/>
        <v>0.44921875</v>
      </c>
      <c r="E231">
        <f t="shared" si="39"/>
        <v>2267.9824053056827</v>
      </c>
      <c r="F231">
        <f t="shared" si="40"/>
        <v>46.333000000000084</v>
      </c>
      <c r="G231" t="s">
        <v>236</v>
      </c>
      <c r="H231">
        <v>174.28643333333338</v>
      </c>
      <c r="I231">
        <f t="shared" si="37"/>
        <v>-127.95343333333329</v>
      </c>
      <c r="J231">
        <f t="shared" si="45"/>
        <v>1.1235955056179696</v>
      </c>
      <c r="K231">
        <f t="shared" si="41"/>
        <v>41.400000000000091</v>
      </c>
      <c r="L231">
        <f t="shared" si="43"/>
        <v>1845.8600000000001</v>
      </c>
      <c r="M231">
        <f>AVERAGE(B231:B281)</f>
        <v>1841.2392156862741</v>
      </c>
      <c r="N231">
        <f t="shared" si="46"/>
        <v>12.035000000000082</v>
      </c>
      <c r="O231">
        <v>-151.42009999999982</v>
      </c>
      <c r="P231">
        <f t="shared" si="44"/>
        <v>112.35955056179696</v>
      </c>
      <c r="V231">
        <v>3491.3</v>
      </c>
      <c r="X231">
        <f>V231-W218</f>
        <v>120.42499999999973</v>
      </c>
      <c r="Y231">
        <f>SUM(X218:X231)</f>
        <v>-33.95000000000573</v>
      </c>
      <c r="AA231">
        <f t="shared" si="48"/>
        <v>14502.180624999934</v>
      </c>
      <c r="AL231">
        <v>3371.4</v>
      </c>
      <c r="AN231">
        <f>AL231-AM229</f>
        <v>14.099999999999909</v>
      </c>
      <c r="AO231">
        <f>SUM(AN229:AN231)</f>
        <v>69.699999999999363</v>
      </c>
      <c r="AQ231">
        <f>POWER(AN231,2)</f>
        <v>198.80999999999744</v>
      </c>
    </row>
    <row r="232" spans="1:47">
      <c r="A232" s="1">
        <v>231</v>
      </c>
      <c r="B232">
        <v>1768</v>
      </c>
      <c r="C232">
        <f t="shared" si="42"/>
        <v>1683.5178999999998</v>
      </c>
      <c r="D232">
        <f t="shared" si="38"/>
        <v>0.451171875</v>
      </c>
      <c r="E232">
        <f t="shared" si="39"/>
        <v>978.44915154049261</v>
      </c>
      <c r="F232">
        <f t="shared" si="40"/>
        <v>84.482100000000173</v>
      </c>
      <c r="G232" t="s">
        <v>237</v>
      </c>
      <c r="H232">
        <v>168.29108888888885</v>
      </c>
      <c r="I232">
        <f t="shared" si="37"/>
        <v>-83.808988888888678</v>
      </c>
      <c r="J232">
        <f t="shared" si="45"/>
        <v>2.3416289592760231</v>
      </c>
      <c r="K232">
        <f t="shared" si="41"/>
        <v>-14.5</v>
      </c>
      <c r="L232">
        <f t="shared" si="43"/>
        <v>1857.6350000000002</v>
      </c>
      <c r="M232">
        <f>AVERAGE(B232:B281)</f>
        <v>1843.5319999999999</v>
      </c>
      <c r="N232">
        <f t="shared" si="46"/>
        <v>11.775000000000091</v>
      </c>
      <c r="O232">
        <v>-127.95343333333329</v>
      </c>
      <c r="P232">
        <f t="shared" si="44"/>
        <v>234.16289592760231</v>
      </c>
      <c r="V232">
        <v>3369.9</v>
      </c>
      <c r="X232">
        <f>V232-W218</f>
        <v>-0.9750000000003638</v>
      </c>
      <c r="Y232">
        <f>SUM(X218:X232)</f>
        <v>-34.925000000006094</v>
      </c>
      <c r="AA232">
        <f t="shared" si="48"/>
        <v>0.95062500000070937</v>
      </c>
      <c r="AL232">
        <v>3287.6</v>
      </c>
      <c r="AN232">
        <f>AL232-AM229</f>
        <v>-69.700000000000273</v>
      </c>
      <c r="AO232">
        <f>SUM(AN229:AN232)</f>
        <v>-9.0949470177292824E-13</v>
      </c>
      <c r="AQ232">
        <f>POWER(AN232,2)</f>
        <v>4858.0900000000383</v>
      </c>
    </row>
    <row r="233" spans="1:47">
      <c r="A233" s="1">
        <v>232</v>
      </c>
      <c r="B233">
        <v>1753.5</v>
      </c>
      <c r="C233">
        <f t="shared" si="42"/>
        <v>1686.7687999999998</v>
      </c>
      <c r="D233">
        <f t="shared" si="38"/>
        <v>0.453125</v>
      </c>
      <c r="E233">
        <f t="shared" si="39"/>
        <v>1741.3937094375722</v>
      </c>
      <c r="F233">
        <f t="shared" si="40"/>
        <v>66.731200000000172</v>
      </c>
      <c r="G233" t="s">
        <v>238</v>
      </c>
      <c r="H233">
        <v>163.41796666666673</v>
      </c>
      <c r="I233">
        <f t="shared" si="37"/>
        <v>-96.686766666666557</v>
      </c>
      <c r="J233">
        <f t="shared" si="45"/>
        <v>-0.8269175933846592</v>
      </c>
      <c r="K233">
        <f t="shared" si="41"/>
        <v>7.2000000000000455</v>
      </c>
      <c r="L233">
        <f t="shared" si="43"/>
        <v>1862.55</v>
      </c>
      <c r="M233">
        <f>AVERAGE(B233:B283)</f>
        <v>1842.3196078431367</v>
      </c>
      <c r="N233">
        <f t="shared" si="46"/>
        <v>4.9149999999997362</v>
      </c>
      <c r="O233">
        <v>-83.808988888888678</v>
      </c>
      <c r="P233">
        <f t="shared" si="44"/>
        <v>-82.691759338465914</v>
      </c>
      <c r="V233">
        <v>3405.8</v>
      </c>
      <c r="X233">
        <f>V233-W218</f>
        <v>34.924999999999727</v>
      </c>
      <c r="Y233">
        <f>SUM(X218:X233)</f>
        <v>-6.3664629124104977E-12</v>
      </c>
      <c r="AA233">
        <f t="shared" si="48"/>
        <v>1219.7556249999809</v>
      </c>
    </row>
    <row r="234" spans="1:47">
      <c r="A234" s="1">
        <v>233</v>
      </c>
      <c r="B234">
        <v>1760.7</v>
      </c>
      <c r="C234">
        <f t="shared" si="42"/>
        <v>1690.0196999999998</v>
      </c>
      <c r="D234">
        <f t="shared" si="38"/>
        <v>0.455078125</v>
      </c>
      <c r="E234">
        <f t="shared" si="39"/>
        <v>1412.1672377289699</v>
      </c>
      <c r="F234">
        <f t="shared" si="40"/>
        <v>70.680300000000216</v>
      </c>
      <c r="G234" t="s">
        <v>239</v>
      </c>
      <c r="H234">
        <v>168.63373333333334</v>
      </c>
      <c r="I234">
        <f t="shared" si="37"/>
        <v>-97.953433333333123</v>
      </c>
      <c r="J234">
        <f t="shared" si="45"/>
        <v>0.40892826716647046</v>
      </c>
      <c r="K234">
        <f t="shared" si="41"/>
        <v>-66.600000000000136</v>
      </c>
      <c r="L234">
        <f t="shared" si="43"/>
        <v>1870.6100000000001</v>
      </c>
      <c r="M234">
        <f>AVERAGE(B234:B283)</f>
        <v>1844.0959999999998</v>
      </c>
      <c r="N234">
        <f t="shared" si="46"/>
        <v>8.0600000000001728</v>
      </c>
      <c r="O234">
        <v>-96.686766666666557</v>
      </c>
      <c r="P234">
        <f t="shared" si="44"/>
        <v>40.892826716647043</v>
      </c>
      <c r="AJ234" t="s">
        <v>621</v>
      </c>
      <c r="AK234">
        <f>COUNT(B505:B508)</f>
        <v>4</v>
      </c>
      <c r="AL234" cm="1">
        <f t="array" ref="AL234:AL237">(B505:B508)</f>
        <v>3398.8</v>
      </c>
      <c r="AM234">
        <f>AVERAGE(_xlfn.ANCHORARRAY(AL234))</f>
        <v>3396.4500000000003</v>
      </c>
      <c r="AN234">
        <f>AL234-AM234</f>
        <v>2.3499999999999091</v>
      </c>
      <c r="AO234">
        <f>SUM(AN234)</f>
        <v>2.3499999999999091</v>
      </c>
      <c r="AP234">
        <f>MAX(AO234:AO237)-MIN(AO234:AO237)</f>
        <v>16.850000000000364</v>
      </c>
      <c r="AQ234">
        <f>POWER(AN234,2)</f>
        <v>5.5224999999995728</v>
      </c>
      <c r="AR234">
        <f>SQRT(SUM(AQ234:AQ237)/COUNT(AQ234:AQ237))</f>
        <v>10.127314550264604</v>
      </c>
      <c r="AS234">
        <f>AP234/AR234</f>
        <v>1.6638171863201496</v>
      </c>
      <c r="AT234">
        <f>LOG(AS234)</f>
        <v>0.22110560600878018</v>
      </c>
      <c r="AU234">
        <f>LOG(AK234)</f>
        <v>0.6020599913279624</v>
      </c>
    </row>
    <row r="235" spans="1:47">
      <c r="A235" s="1">
        <v>234</v>
      </c>
      <c r="B235">
        <v>1694.1</v>
      </c>
      <c r="C235">
        <f t="shared" si="42"/>
        <v>1693.2705999999998</v>
      </c>
      <c r="D235">
        <f t="shared" si="38"/>
        <v>0.45703125</v>
      </c>
      <c r="E235">
        <f t="shared" si="39"/>
        <v>1817.3789743563455</v>
      </c>
      <c r="F235">
        <f t="shared" si="40"/>
        <v>0.82940000000007785</v>
      </c>
      <c r="G235" t="s">
        <v>240</v>
      </c>
      <c r="H235">
        <v>175.06061111111109</v>
      </c>
      <c r="I235">
        <f t="shared" si="37"/>
        <v>-174.23121111111101</v>
      </c>
      <c r="J235">
        <f t="shared" si="45"/>
        <v>-3.9312909509474139</v>
      </c>
      <c r="K235">
        <f t="shared" si="41"/>
        <v>52.100000000000136</v>
      </c>
      <c r="L235">
        <f t="shared" si="43"/>
        <v>1879.2549999999999</v>
      </c>
      <c r="M235">
        <f>AVERAGE(B235:B285)</f>
        <v>1845.4431372549016</v>
      </c>
      <c r="N235">
        <f t="shared" si="46"/>
        <v>8.6449999999997544</v>
      </c>
      <c r="O235">
        <v>-97.953433333333123</v>
      </c>
      <c r="P235">
        <f t="shared" si="44"/>
        <v>-393.12909509474139</v>
      </c>
      <c r="AL235">
        <v>3406.5</v>
      </c>
      <c r="AN235">
        <f>AL235-AM234</f>
        <v>10.049999999999727</v>
      </c>
      <c r="AO235">
        <f>SUM(AN234:AN235)</f>
        <v>12.399999999999636</v>
      </c>
      <c r="AQ235">
        <f>POWER(AN235,2)</f>
        <v>101.00249999999451</v>
      </c>
    </row>
    <row r="236" spans="1:47">
      <c r="A236" s="1">
        <v>235</v>
      </c>
      <c r="B236">
        <v>1746.2</v>
      </c>
      <c r="C236">
        <f t="shared" si="42"/>
        <v>1696.5214999999998</v>
      </c>
      <c r="D236">
        <f t="shared" si="38"/>
        <v>0.458984375</v>
      </c>
      <c r="E236">
        <f t="shared" si="39"/>
        <v>621.73724795854923</v>
      </c>
      <c r="F236">
        <f t="shared" si="40"/>
        <v>49.678500000000213</v>
      </c>
      <c r="G236" t="s">
        <v>241</v>
      </c>
      <c r="H236">
        <v>175.60114444444446</v>
      </c>
      <c r="I236">
        <f t="shared" si="37"/>
        <v>-125.92264444444424</v>
      </c>
      <c r="J236">
        <f t="shared" si="45"/>
        <v>2.9836215782842821</v>
      </c>
      <c r="K236">
        <f t="shared" si="41"/>
        <v>14.799999999999955</v>
      </c>
      <c r="L236">
        <f t="shared" si="43"/>
        <v>1890.25</v>
      </c>
      <c r="M236">
        <f>AVERAGE(B236:B285)</f>
        <v>1848.4699999999998</v>
      </c>
      <c r="N236">
        <f t="shared" si="46"/>
        <v>10.995000000000118</v>
      </c>
      <c r="O236">
        <v>-174.23121111111101</v>
      </c>
      <c r="P236">
        <f t="shared" si="44"/>
        <v>298.36215782842822</v>
      </c>
      <c r="AL236">
        <v>3400.9</v>
      </c>
      <c r="AN236">
        <f>AL236-AM234</f>
        <v>4.4499999999998181</v>
      </c>
      <c r="AO236">
        <f>SUM(AN234:AN236)</f>
        <v>16.849999999999454</v>
      </c>
      <c r="AQ236">
        <f>POWER(AN236,2)</f>
        <v>19.802499999998382</v>
      </c>
    </row>
    <row r="237" spans="1:47">
      <c r="A237" s="1">
        <v>236</v>
      </c>
      <c r="B237">
        <v>1761</v>
      </c>
      <c r="C237">
        <f t="shared" si="42"/>
        <v>1699.7723999999998</v>
      </c>
      <c r="D237">
        <f t="shared" si="38"/>
        <v>0.4609375</v>
      </c>
      <c r="E237">
        <f t="shared" si="39"/>
        <v>1106.3728455735175</v>
      </c>
      <c r="F237">
        <f t="shared" si="40"/>
        <v>61.227600000000166</v>
      </c>
      <c r="G237" t="s">
        <v>242</v>
      </c>
      <c r="H237">
        <v>183.85024444444448</v>
      </c>
      <c r="I237">
        <f t="shared" si="37"/>
        <v>-122.62264444444432</v>
      </c>
      <c r="J237">
        <f t="shared" si="45"/>
        <v>0.8404315729699009</v>
      </c>
      <c r="K237">
        <f t="shared" si="41"/>
        <v>28.799999999999955</v>
      </c>
      <c r="L237">
        <f t="shared" si="43"/>
        <v>1898.575</v>
      </c>
      <c r="M237">
        <f>AVERAGE(B237:B287)</f>
        <v>1852.2176470588231</v>
      </c>
      <c r="N237">
        <f t="shared" si="46"/>
        <v>8.3250000000000455</v>
      </c>
      <c r="O237">
        <v>-125.92264444444424</v>
      </c>
      <c r="P237">
        <f t="shared" si="44"/>
        <v>84.043157296990088</v>
      </c>
      <c r="AL237">
        <v>3379.6</v>
      </c>
      <c r="AN237">
        <f>AL237-AM234</f>
        <v>-16.850000000000364</v>
      </c>
      <c r="AO237">
        <f>SUM(AN234:AN237)</f>
        <v>-9.0949470177292824E-13</v>
      </c>
      <c r="AQ237">
        <f>POWER(AN237,2)</f>
        <v>283.92250000001223</v>
      </c>
    </row>
    <row r="238" spans="1:47">
      <c r="A238" s="1">
        <v>237</v>
      </c>
      <c r="B238">
        <v>1789.8</v>
      </c>
      <c r="C238">
        <f t="shared" si="42"/>
        <v>1703.0232999999998</v>
      </c>
      <c r="D238">
        <f t="shared" si="38"/>
        <v>0.462890625</v>
      </c>
      <c r="E238">
        <f t="shared" si="39"/>
        <v>1214.7684785527217</v>
      </c>
      <c r="F238">
        <f t="shared" si="40"/>
        <v>86.776700000000119</v>
      </c>
      <c r="G238" t="s">
        <v>243</v>
      </c>
      <c r="H238">
        <v>187.5549</v>
      </c>
      <c r="I238">
        <f t="shared" si="37"/>
        <v>-100.77819999999988</v>
      </c>
      <c r="J238">
        <f t="shared" si="45"/>
        <v>1.6091183372443825</v>
      </c>
      <c r="K238">
        <f t="shared" si="41"/>
        <v>11.200000000000045</v>
      </c>
      <c r="L238">
        <f t="shared" si="43"/>
        <v>1904.8849999999998</v>
      </c>
      <c r="M238">
        <f>AVERAGE(B238:B287)</f>
        <v>1854.0419999999995</v>
      </c>
      <c r="N238">
        <f t="shared" si="46"/>
        <v>6.3099999999997181</v>
      </c>
      <c r="O238">
        <v>-122.62264444444432</v>
      </c>
      <c r="P238">
        <f t="shared" si="44"/>
        <v>160.91183372443825</v>
      </c>
    </row>
    <row r="239" spans="1:47">
      <c r="A239" s="1">
        <v>238</v>
      </c>
      <c r="B239">
        <v>1801</v>
      </c>
      <c r="C239">
        <f t="shared" si="42"/>
        <v>1706.2741999999998</v>
      </c>
      <c r="D239">
        <f t="shared" si="38"/>
        <v>0.46484375</v>
      </c>
      <c r="E239">
        <f t="shared" si="39"/>
        <v>1173.9939684875162</v>
      </c>
      <c r="F239">
        <f t="shared" si="40"/>
        <v>94.725800000000163</v>
      </c>
      <c r="G239" t="s">
        <v>244</v>
      </c>
      <c r="H239">
        <v>181.60400000000004</v>
      </c>
      <c r="I239">
        <f t="shared" si="37"/>
        <v>-86.878199999999879</v>
      </c>
      <c r="J239">
        <f t="shared" si="45"/>
        <v>0.62187673514714303</v>
      </c>
      <c r="K239">
        <f t="shared" si="41"/>
        <v>0.90000000000009095</v>
      </c>
      <c r="L239">
        <f t="shared" si="43"/>
        <v>1913.3499999999997</v>
      </c>
      <c r="M239">
        <f>AVERAGE(B239:B289)</f>
        <v>1856.6235294117639</v>
      </c>
      <c r="N239">
        <f t="shared" si="46"/>
        <v>8.4649999999999181</v>
      </c>
      <c r="O239">
        <v>-100.77819999999988</v>
      </c>
      <c r="P239">
        <f t="shared" si="44"/>
        <v>62.187673514714305</v>
      </c>
      <c r="AJ239" t="s">
        <v>620</v>
      </c>
      <c r="AK239">
        <f>COUNT(B509:B512)</f>
        <v>4</v>
      </c>
      <c r="AL239" cm="1">
        <f t="array" ref="AL239:AL242">(B509:B512)</f>
        <v>3399.8</v>
      </c>
      <c r="AM239">
        <f>AVERAGE(_xlfn.ANCHORARRAY(AL239))</f>
        <v>3416.7</v>
      </c>
      <c r="AN239">
        <f>AL239-AM239</f>
        <v>-16.899999999999636</v>
      </c>
      <c r="AO239">
        <f>SUM(AN239)</f>
        <v>-16.899999999999636</v>
      </c>
      <c r="AP239">
        <f>MAX(AO239:AO242)-MIN(AO239:AO242)</f>
        <v>74.600000000000364</v>
      </c>
      <c r="AQ239">
        <f>POWER(AN239,2)</f>
        <v>285.60999999998768</v>
      </c>
      <c r="AR239">
        <f>SQRT(SUM(AQ239:AQ242)/COUNT(AQ239:AQ242))</f>
        <v>45.165861001424538</v>
      </c>
      <c r="AS239">
        <f>AP239/AR239</f>
        <v>1.6516899788016322</v>
      </c>
      <c r="AT239">
        <f>LOG(AS239)</f>
        <v>0.21792853382522115</v>
      </c>
      <c r="AU239">
        <f>LOG(AK239)</f>
        <v>0.6020599913279624</v>
      </c>
    </row>
    <row r="240" spans="1:47">
      <c r="A240" s="1">
        <v>239</v>
      </c>
      <c r="B240">
        <v>1801.9</v>
      </c>
      <c r="C240">
        <f t="shared" si="42"/>
        <v>1709.5250999999998</v>
      </c>
      <c r="D240">
        <f t="shared" si="38"/>
        <v>0.466796875</v>
      </c>
      <c r="E240">
        <f t="shared" si="39"/>
        <v>843.25422237016062</v>
      </c>
      <c r="F240">
        <f t="shared" si="40"/>
        <v>92.374900000000252</v>
      </c>
      <c r="G240" t="s">
        <v>245</v>
      </c>
      <c r="H240">
        <v>174.28643333333338</v>
      </c>
      <c r="I240">
        <f t="shared" si="37"/>
        <v>-81.911533333333125</v>
      </c>
      <c r="J240">
        <f t="shared" si="45"/>
        <v>4.9947277873360944E-2</v>
      </c>
      <c r="K240">
        <f t="shared" si="41"/>
        <v>13.699999999999818</v>
      </c>
      <c r="L240">
        <f t="shared" si="43"/>
        <v>1917.9499999999996</v>
      </c>
      <c r="M240">
        <f>AVERAGE(B240:B289)</f>
        <v>1857.7359999999992</v>
      </c>
      <c r="N240">
        <f t="shared" si="46"/>
        <v>4.5999999999999091</v>
      </c>
      <c r="O240">
        <v>-86.878199999999879</v>
      </c>
      <c r="P240">
        <f t="shared" si="44"/>
        <v>4.9947277873360942</v>
      </c>
      <c r="AB240" t="s">
        <v>596</v>
      </c>
      <c r="AC240" t="s">
        <v>642</v>
      </c>
      <c r="AL240">
        <v>3491.3</v>
      </c>
      <c r="AN240">
        <f>AL240-AM239</f>
        <v>74.600000000000364</v>
      </c>
      <c r="AO240">
        <f>SUM(AN239:AN240)</f>
        <v>57.700000000000728</v>
      </c>
      <c r="AQ240">
        <f>POWER(AN240,2)</f>
        <v>5565.1600000000544</v>
      </c>
    </row>
    <row r="241" spans="1:43">
      <c r="A241" s="1">
        <v>240</v>
      </c>
      <c r="B241">
        <v>1815.6</v>
      </c>
      <c r="C241">
        <f t="shared" si="42"/>
        <v>1712.7759999999998</v>
      </c>
      <c r="D241">
        <f t="shared" si="38"/>
        <v>0.46875</v>
      </c>
      <c r="E241">
        <f t="shared" si="39"/>
        <v>935.40851769256187</v>
      </c>
      <c r="F241">
        <f t="shared" si="40"/>
        <v>102.82400000000007</v>
      </c>
      <c r="G241" t="s">
        <v>246</v>
      </c>
      <c r="H241">
        <v>168.29108888888885</v>
      </c>
      <c r="I241">
        <f t="shared" si="37"/>
        <v>-65.467088888888782</v>
      </c>
      <c r="J241">
        <f t="shared" si="45"/>
        <v>0.75457149151794556</v>
      </c>
      <c r="K241">
        <f t="shared" si="41"/>
        <v>5.3000000000001819</v>
      </c>
      <c r="L241">
        <f t="shared" si="43"/>
        <v>1921.7649999999999</v>
      </c>
      <c r="M241">
        <f>AVERAGE(B241:B291)</f>
        <v>1855.5999999999992</v>
      </c>
      <c r="N241">
        <f t="shared" si="46"/>
        <v>3.8150000000002819</v>
      </c>
      <c r="O241">
        <v>-81.911533333333125</v>
      </c>
      <c r="P241">
        <f t="shared" si="44"/>
        <v>75.457149151794553</v>
      </c>
      <c r="AB241">
        <f>AE166</f>
        <v>1.505149978319906</v>
      </c>
      <c r="AC241">
        <f>AF166</f>
        <v>1.1566510927853586</v>
      </c>
      <c r="AL241">
        <v>3369.9</v>
      </c>
      <c r="AN241">
        <f>AL241-AM239</f>
        <v>-46.799999999999727</v>
      </c>
      <c r="AO241">
        <f>SUM(AN239:AN241)</f>
        <v>10.900000000001</v>
      </c>
      <c r="AQ241">
        <f>POWER(AN241,2)</f>
        <v>2190.2399999999743</v>
      </c>
    </row>
    <row r="242" spans="1:43">
      <c r="A242" s="1">
        <v>241</v>
      </c>
      <c r="B242">
        <v>1820.9</v>
      </c>
      <c r="C242">
        <f t="shared" si="42"/>
        <v>1716.0268999999998</v>
      </c>
      <c r="D242">
        <f t="shared" si="38"/>
        <v>0.470703125</v>
      </c>
      <c r="E242">
        <f t="shared" si="39"/>
        <v>945.02347740526841</v>
      </c>
      <c r="F242">
        <f t="shared" si="40"/>
        <v>104.87310000000025</v>
      </c>
      <c r="G242" t="s">
        <v>247</v>
      </c>
      <c r="H242">
        <v>163.41796666666673</v>
      </c>
      <c r="I242">
        <f t="shared" si="37"/>
        <v>-58.544866666666479</v>
      </c>
      <c r="J242">
        <f t="shared" si="45"/>
        <v>0.29106485803724436</v>
      </c>
      <c r="K242">
        <f t="shared" si="41"/>
        <v>89.199999999999818</v>
      </c>
      <c r="L242">
        <f t="shared" si="43"/>
        <v>1920.5899999999997</v>
      </c>
      <c r="M242">
        <f>AVERAGE(B242:B291)</f>
        <v>1856.3999999999992</v>
      </c>
      <c r="N242">
        <f t="shared" si="46"/>
        <v>-1.1750000000001819</v>
      </c>
      <c r="O242">
        <v>-65.467088888888782</v>
      </c>
      <c r="P242">
        <f t="shared" si="44"/>
        <v>29.106485803724436</v>
      </c>
      <c r="AB242">
        <f>AE201</f>
        <v>1.2041199826559248</v>
      </c>
      <c r="AC242">
        <f>AF201</f>
        <v>0.74143425813635733</v>
      </c>
      <c r="AL242">
        <v>3405.8</v>
      </c>
      <c r="AN242">
        <f>AL242-AM239</f>
        <v>-10.899999999999636</v>
      </c>
      <c r="AO242">
        <f>SUM(AN239:AN242)</f>
        <v>1.3642420526593924E-12</v>
      </c>
      <c r="AQ242">
        <f>POWER(AN242,2)</f>
        <v>118.80999999999207</v>
      </c>
    </row>
    <row r="243" spans="1:43">
      <c r="A243" s="1">
        <v>242</v>
      </c>
      <c r="B243">
        <v>1910.1</v>
      </c>
      <c r="C243">
        <f t="shared" si="42"/>
        <v>1719.2777999999998</v>
      </c>
      <c r="D243">
        <f t="shared" si="38"/>
        <v>0.47265625</v>
      </c>
      <c r="E243">
        <f t="shared" si="39"/>
        <v>797.64988689221138</v>
      </c>
      <c r="F243">
        <f t="shared" si="40"/>
        <v>190.82220000000007</v>
      </c>
      <c r="G243" t="s">
        <v>248</v>
      </c>
      <c r="H243">
        <v>168.63373333333334</v>
      </c>
      <c r="I243">
        <f t="shared" si="37"/>
        <v>22.188466666666727</v>
      </c>
      <c r="J243">
        <f t="shared" si="45"/>
        <v>4.6699125700225022</v>
      </c>
      <c r="K243">
        <f t="shared" si="41"/>
        <v>75.800000000000182</v>
      </c>
      <c r="L243">
        <f t="shared" si="43"/>
        <v>1921.7449999999994</v>
      </c>
      <c r="M243">
        <f>AVERAGE(B243:B293)</f>
        <v>1854.8313725490189</v>
      </c>
      <c r="N243">
        <f t="shared" si="46"/>
        <v>1.1549999999997453</v>
      </c>
      <c r="O243">
        <v>-58.544866666666479</v>
      </c>
      <c r="P243">
        <f t="shared" si="44"/>
        <v>466.99125700225022</v>
      </c>
      <c r="AB243">
        <f>AU166</f>
        <v>0.90308998699194354</v>
      </c>
      <c r="AC243">
        <f>AV166</f>
        <v>0.46710530193349775</v>
      </c>
    </row>
    <row r="244" spans="1:43">
      <c r="A244" s="1">
        <v>243</v>
      </c>
      <c r="B244">
        <v>1985.9</v>
      </c>
      <c r="C244">
        <f t="shared" si="42"/>
        <v>1722.5286999999998</v>
      </c>
      <c r="D244">
        <f t="shared" si="38"/>
        <v>0.474609375</v>
      </c>
      <c r="E244">
        <f t="shared" si="39"/>
        <v>920.33896356272692</v>
      </c>
      <c r="F244">
        <f t="shared" si="40"/>
        <v>263.37130000000025</v>
      </c>
      <c r="G244" t="s">
        <v>249</v>
      </c>
      <c r="H244">
        <v>175.06061111111109</v>
      </c>
      <c r="I244">
        <f t="shared" si="37"/>
        <v>88.31068888888916</v>
      </c>
      <c r="J244">
        <f t="shared" si="45"/>
        <v>3.8169092099300155</v>
      </c>
      <c r="K244">
        <f t="shared" si="41"/>
        <v>42.099999999999909</v>
      </c>
      <c r="L244">
        <f t="shared" si="43"/>
        <v>1918.6199999999997</v>
      </c>
      <c r="M244">
        <f>AVERAGE(B244:B293)</f>
        <v>1853.7259999999994</v>
      </c>
      <c r="N244">
        <f t="shared" si="46"/>
        <v>-3.1249999999997726</v>
      </c>
      <c r="O244">
        <v>22.188466666666727</v>
      </c>
      <c r="P244">
        <f t="shared" si="44"/>
        <v>381.69092099300155</v>
      </c>
      <c r="AB244">
        <f>AU204</f>
        <v>0.6020599913279624</v>
      </c>
      <c r="AC244" s="37">
        <f>AV204</f>
        <v>0.21587586702585293</v>
      </c>
    </row>
    <row r="245" spans="1:43">
      <c r="A245" s="1">
        <v>244</v>
      </c>
      <c r="B245">
        <v>2028</v>
      </c>
      <c r="C245">
        <f t="shared" si="42"/>
        <v>1725.7795999999998</v>
      </c>
      <c r="D245">
        <f t="shared" si="38"/>
        <v>0.4765625</v>
      </c>
      <c r="E245">
        <f t="shared" si="39"/>
        <v>1057.8160790680399</v>
      </c>
      <c r="F245">
        <f t="shared" si="40"/>
        <v>302.22040000000015</v>
      </c>
      <c r="G245" t="s">
        <v>250</v>
      </c>
      <c r="H245">
        <v>175.60114444444446</v>
      </c>
      <c r="I245">
        <f t="shared" si="37"/>
        <v>126.6192555555557</v>
      </c>
      <c r="J245">
        <f t="shared" si="45"/>
        <v>2.0759368836291872</v>
      </c>
      <c r="K245">
        <f t="shared" si="41"/>
        <v>-78.200000000000045</v>
      </c>
      <c r="L245">
        <f t="shared" si="43"/>
        <v>1913.9749999999997</v>
      </c>
      <c r="M245">
        <f>AVERAGE(B245:B295)</f>
        <v>1849.4254901960778</v>
      </c>
      <c r="N245">
        <f t="shared" si="46"/>
        <v>-4.6449999999999818</v>
      </c>
      <c r="O245">
        <v>88.31068888888916</v>
      </c>
      <c r="P245">
        <f t="shared" si="44"/>
        <v>207.59368836291873</v>
      </c>
      <c r="U245" t="s">
        <v>698</v>
      </c>
      <c r="AB245">
        <f>BK166</f>
        <v>0.3010299956639812</v>
      </c>
      <c r="AC245">
        <f>BL166</f>
        <v>1.5132383839266085E-3</v>
      </c>
    </row>
    <row r="246" spans="1:43">
      <c r="A246" s="1">
        <v>245</v>
      </c>
      <c r="B246">
        <v>1949.8</v>
      </c>
      <c r="C246">
        <f t="shared" si="42"/>
        <v>1729.0304999999998</v>
      </c>
      <c r="D246">
        <f t="shared" si="38"/>
        <v>0.478515625</v>
      </c>
      <c r="E246">
        <f t="shared" si="39"/>
        <v>1016.9512053072538</v>
      </c>
      <c r="F246">
        <f t="shared" si="40"/>
        <v>220.76950000000011</v>
      </c>
      <c r="G246" t="s">
        <v>251</v>
      </c>
      <c r="H246">
        <v>183.85024444444448</v>
      </c>
      <c r="I246">
        <f t="shared" si="37"/>
        <v>36.919255555555623</v>
      </c>
      <c r="J246">
        <f t="shared" si="45"/>
        <v>-4.0106677607959815</v>
      </c>
      <c r="K246">
        <f t="shared" si="41"/>
        <v>-2.7999999999999545</v>
      </c>
      <c r="L246">
        <f t="shared" si="43"/>
        <v>1906.9450000000002</v>
      </c>
      <c r="M246">
        <f>AVERAGE(B246:B295)</f>
        <v>1845.8539999999996</v>
      </c>
      <c r="N246">
        <f t="shared" si="46"/>
        <v>-7.029999999999518</v>
      </c>
      <c r="O246">
        <v>126.6192555555557</v>
      </c>
      <c r="P246">
        <f t="shared" si="44"/>
        <v>-401.06677607959813</v>
      </c>
      <c r="U246" t="s">
        <v>699</v>
      </c>
    </row>
    <row r="247" spans="1:43">
      <c r="A247" s="1">
        <v>246</v>
      </c>
      <c r="B247">
        <v>1947</v>
      </c>
      <c r="C247">
        <f t="shared" si="42"/>
        <v>1732.2813999999998</v>
      </c>
      <c r="D247">
        <f t="shared" si="38"/>
        <v>0.48046875</v>
      </c>
      <c r="E247">
        <f t="shared" si="39"/>
        <v>1431.8767700341698</v>
      </c>
      <c r="F247">
        <f t="shared" si="40"/>
        <v>214.71860000000015</v>
      </c>
      <c r="G247" t="s">
        <v>252</v>
      </c>
      <c r="H247">
        <v>187.5549</v>
      </c>
      <c r="I247">
        <f t="shared" si="37"/>
        <v>27.163700000000148</v>
      </c>
      <c r="J247">
        <f t="shared" si="45"/>
        <v>-0.14381099126861605</v>
      </c>
      <c r="K247">
        <f t="shared" si="41"/>
        <v>27.900000000000091</v>
      </c>
      <c r="L247">
        <f t="shared" si="43"/>
        <v>1904.4349999999999</v>
      </c>
      <c r="M247">
        <f>AVERAGE(B247:B297)</f>
        <v>1841.6313725490193</v>
      </c>
      <c r="N247">
        <f t="shared" si="46"/>
        <v>-2.5100000000002183</v>
      </c>
      <c r="O247">
        <v>36.919255555555623</v>
      </c>
      <c r="P247">
        <f t="shared" si="44"/>
        <v>-14.381099126861605</v>
      </c>
      <c r="U247" t="s">
        <v>700</v>
      </c>
    </row>
    <row r="248" spans="1:43">
      <c r="A248" s="1">
        <v>247</v>
      </c>
      <c r="B248">
        <v>1974.9</v>
      </c>
      <c r="C248">
        <f t="shared" si="42"/>
        <v>1735.5322999999999</v>
      </c>
      <c r="D248">
        <f t="shared" si="38"/>
        <v>0.482421875</v>
      </c>
      <c r="E248">
        <f t="shared" si="39"/>
        <v>825.78939088902041</v>
      </c>
      <c r="F248">
        <f t="shared" si="40"/>
        <v>239.36770000000024</v>
      </c>
      <c r="G248" t="s">
        <v>253</v>
      </c>
      <c r="H248">
        <v>181.60400000000004</v>
      </c>
      <c r="I248">
        <f t="shared" si="37"/>
        <v>57.763700000000199</v>
      </c>
      <c r="J248">
        <f t="shared" si="45"/>
        <v>1.4127297584687879</v>
      </c>
      <c r="K248">
        <f t="shared" si="41"/>
        <v>-40.600000000000136</v>
      </c>
      <c r="L248">
        <f t="shared" si="43"/>
        <v>1899.0699999999997</v>
      </c>
      <c r="M248">
        <f>AVERAGE(B248:B297)</f>
        <v>1839.5239999999997</v>
      </c>
      <c r="N248">
        <f t="shared" si="46"/>
        <v>-5.3650000000002365</v>
      </c>
      <c r="O248">
        <v>27.163700000000148</v>
      </c>
      <c r="P248">
        <f t="shared" si="44"/>
        <v>141.27297584687878</v>
      </c>
    </row>
    <row r="249" spans="1:43">
      <c r="A249" s="1">
        <v>248</v>
      </c>
      <c r="B249">
        <v>1934.3</v>
      </c>
      <c r="C249">
        <f t="shared" si="42"/>
        <v>1738.7831999999999</v>
      </c>
      <c r="D249">
        <f t="shared" si="38"/>
        <v>0.484375</v>
      </c>
      <c r="E249">
        <f t="shared" si="39"/>
        <v>1642.4549877274496</v>
      </c>
      <c r="F249">
        <f t="shared" si="40"/>
        <v>195.5168000000001</v>
      </c>
      <c r="G249" t="s">
        <v>254</v>
      </c>
      <c r="H249">
        <v>174.28643333333338</v>
      </c>
      <c r="I249">
        <f t="shared" si="37"/>
        <v>21.230366666666725</v>
      </c>
      <c r="J249">
        <f t="shared" si="45"/>
        <v>-2.0989505247376381</v>
      </c>
      <c r="K249">
        <f t="shared" si="41"/>
        <v>13.600000000000136</v>
      </c>
      <c r="L249">
        <f t="shared" si="43"/>
        <v>1892.0099999999995</v>
      </c>
      <c r="M249">
        <f>AVERAGE(B249:B299)</f>
        <v>1834.5784313725487</v>
      </c>
      <c r="N249">
        <f t="shared" si="46"/>
        <v>-7.0600000000001728</v>
      </c>
      <c r="O249">
        <v>57.763700000000199</v>
      </c>
      <c r="P249">
        <f t="shared" si="44"/>
        <v>-209.8950524737638</v>
      </c>
    </row>
    <row r="250" spans="1:43">
      <c r="A250" s="1">
        <v>249</v>
      </c>
      <c r="B250">
        <v>1947.9</v>
      </c>
      <c r="C250">
        <f t="shared" si="42"/>
        <v>1742.0340999999999</v>
      </c>
      <c r="D250">
        <f t="shared" si="38"/>
        <v>0.486328125</v>
      </c>
      <c r="E250">
        <f t="shared" si="39"/>
        <v>1280.6090731464326</v>
      </c>
      <c r="F250">
        <f t="shared" si="40"/>
        <v>205.86590000000024</v>
      </c>
      <c r="G250" t="s">
        <v>255</v>
      </c>
      <c r="H250">
        <v>168.29108888888885</v>
      </c>
      <c r="I250">
        <f t="shared" si="37"/>
        <v>37.574811111111387</v>
      </c>
      <c r="J250">
        <f t="shared" si="45"/>
        <v>0.6981877919811148</v>
      </c>
      <c r="K250">
        <f t="shared" si="41"/>
        <v>14.199999999999818</v>
      </c>
      <c r="L250">
        <f t="shared" si="43"/>
        <v>1888.2899999999997</v>
      </c>
      <c r="M250">
        <f>AVERAGE(B250:B299)</f>
        <v>1832.5839999999998</v>
      </c>
      <c r="N250">
        <f t="shared" si="46"/>
        <v>-3.7199999999997999</v>
      </c>
      <c r="O250">
        <v>21.230366666666725</v>
      </c>
      <c r="P250">
        <f t="shared" si="44"/>
        <v>69.818779198111486</v>
      </c>
    </row>
    <row r="251" spans="1:43">
      <c r="A251" s="1">
        <v>250</v>
      </c>
      <c r="B251">
        <v>1962.1</v>
      </c>
      <c r="C251">
        <f t="shared" si="42"/>
        <v>1745.2849999999999</v>
      </c>
      <c r="D251">
        <f t="shared" si="38"/>
        <v>0.48828125</v>
      </c>
      <c r="E251">
        <f t="shared" si="39"/>
        <v>1197.5441022574309</v>
      </c>
      <c r="F251">
        <f t="shared" si="40"/>
        <v>216.81500000000005</v>
      </c>
      <c r="G251" t="s">
        <v>256</v>
      </c>
      <c r="H251">
        <v>163.41796666666673</v>
      </c>
      <c r="I251">
        <f t="shared" si="37"/>
        <v>53.397033333333326</v>
      </c>
      <c r="J251">
        <f t="shared" si="45"/>
        <v>0.72371438764588036</v>
      </c>
      <c r="K251">
        <f t="shared" si="41"/>
        <v>-95.799999999999955</v>
      </c>
      <c r="L251">
        <f t="shared" si="43"/>
        <v>1883.53</v>
      </c>
      <c r="M251">
        <f>AVERAGE(B251:B301)</f>
        <v>1830.0882352941176</v>
      </c>
      <c r="N251">
        <f t="shared" si="46"/>
        <v>-4.7599999999997635</v>
      </c>
      <c r="O251">
        <v>37.574811111111387</v>
      </c>
      <c r="P251">
        <f t="shared" si="44"/>
        <v>72.371438764588035</v>
      </c>
    </row>
    <row r="252" spans="1:43">
      <c r="A252" s="1">
        <v>251</v>
      </c>
      <c r="B252">
        <v>1866.3</v>
      </c>
      <c r="C252">
        <f t="shared" si="42"/>
        <v>1748.5358999999999</v>
      </c>
      <c r="D252">
        <f t="shared" si="38"/>
        <v>0.490234375</v>
      </c>
      <c r="E252">
        <f t="shared" si="39"/>
        <v>1138.7054096861457</v>
      </c>
      <c r="F252">
        <f t="shared" si="40"/>
        <v>117.7641000000001</v>
      </c>
      <c r="G252" t="s">
        <v>257</v>
      </c>
      <c r="H252">
        <v>168.63373333333334</v>
      </c>
      <c r="I252">
        <f t="shared" si="37"/>
        <v>-50.86963333333324</v>
      </c>
      <c r="J252">
        <f t="shared" si="45"/>
        <v>-5.133151154691098</v>
      </c>
      <c r="K252">
        <f t="shared" si="41"/>
        <v>48.400000000000091</v>
      </c>
      <c r="L252">
        <f t="shared" si="43"/>
        <v>1876.2049999999999</v>
      </c>
      <c r="M252">
        <f>AVERAGE(B252:B301)</f>
        <v>1827.4480000000001</v>
      </c>
      <c r="N252">
        <f t="shared" si="46"/>
        <v>-7.3250000000000455</v>
      </c>
      <c r="O252">
        <v>53.397033333333326</v>
      </c>
      <c r="P252">
        <f t="shared" si="44"/>
        <v>-513.31511546910974</v>
      </c>
    </row>
    <row r="253" spans="1:43">
      <c r="A253" s="1">
        <v>252</v>
      </c>
      <c r="B253">
        <v>1914.7</v>
      </c>
      <c r="C253">
        <f t="shared" si="42"/>
        <v>1751.7867999999999</v>
      </c>
      <c r="D253">
        <f t="shared" si="38"/>
        <v>0.4921875</v>
      </c>
      <c r="E253">
        <f t="shared" si="39"/>
        <v>1361.2071665520755</v>
      </c>
      <c r="F253">
        <f t="shared" si="40"/>
        <v>162.91320000000019</v>
      </c>
      <c r="G253" t="s">
        <v>258</v>
      </c>
      <c r="H253">
        <v>175.06061111111109</v>
      </c>
      <c r="I253">
        <f t="shared" si="37"/>
        <v>-12.147411111110898</v>
      </c>
      <c r="J253">
        <f t="shared" si="45"/>
        <v>2.5278111453491454</v>
      </c>
      <c r="K253">
        <f t="shared" si="41"/>
        <v>18.899999999999864</v>
      </c>
      <c r="L253">
        <f t="shared" si="43"/>
        <v>1874.19</v>
      </c>
      <c r="M253">
        <f>AVERAGE(B253:B303)</f>
        <v>1824.501960784314</v>
      </c>
      <c r="N253">
        <f t="shared" si="46"/>
        <v>-2.0149999999998727</v>
      </c>
      <c r="O253">
        <v>-50.86963333333324</v>
      </c>
      <c r="P253">
        <f t="shared" si="44"/>
        <v>252.78111453491454</v>
      </c>
    </row>
    <row r="254" spans="1:43">
      <c r="A254" s="1">
        <v>253</v>
      </c>
      <c r="B254">
        <v>1933.6</v>
      </c>
      <c r="C254">
        <f t="shared" si="42"/>
        <v>1755.0376999999999</v>
      </c>
      <c r="D254">
        <f t="shared" si="38"/>
        <v>0.494140625</v>
      </c>
      <c r="E254">
        <f t="shared" si="39"/>
        <v>1409.7744967435406</v>
      </c>
      <c r="F254">
        <f t="shared" si="40"/>
        <v>178.56230000000005</v>
      </c>
      <c r="G254" t="s">
        <v>259</v>
      </c>
      <c r="H254">
        <v>175.60114444444446</v>
      </c>
      <c r="I254">
        <f t="shared" si="37"/>
        <v>2.9611555555555924</v>
      </c>
      <c r="J254">
        <f t="shared" si="45"/>
        <v>0.97745138601571491</v>
      </c>
      <c r="K254">
        <f t="shared" si="41"/>
        <v>-19.599999999999909</v>
      </c>
      <c r="L254">
        <f t="shared" si="43"/>
        <v>1867.4700000000005</v>
      </c>
      <c r="M254">
        <f>AVERAGE(B254:B303)</f>
        <v>1822.6980000000005</v>
      </c>
      <c r="N254">
        <f t="shared" si="46"/>
        <v>-6.7199999999995725</v>
      </c>
      <c r="O254">
        <v>-12.147411111110898</v>
      </c>
      <c r="P254">
        <f t="shared" si="44"/>
        <v>97.745138601571497</v>
      </c>
    </row>
    <row r="255" spans="1:43">
      <c r="A255" s="1">
        <v>254</v>
      </c>
      <c r="B255">
        <v>1914</v>
      </c>
      <c r="C255">
        <f t="shared" si="42"/>
        <v>1758.2885999999999</v>
      </c>
      <c r="D255">
        <f t="shared" si="38"/>
        <v>0.49609375</v>
      </c>
      <c r="E255">
        <f t="shared" si="39"/>
        <v>1780.1875614309097</v>
      </c>
      <c r="F255">
        <f t="shared" si="40"/>
        <v>155.71140000000014</v>
      </c>
      <c r="G255" t="s">
        <v>260</v>
      </c>
      <c r="H255">
        <v>183.85024444444448</v>
      </c>
      <c r="I255">
        <f t="shared" si="37"/>
        <v>-28.138844444444345</v>
      </c>
      <c r="J255">
        <f t="shared" si="45"/>
        <v>-1.0240334378265366</v>
      </c>
      <c r="K255">
        <f t="shared" si="41"/>
        <v>-1.2999999999999545</v>
      </c>
      <c r="L255">
        <f t="shared" si="43"/>
        <v>1857.3700000000001</v>
      </c>
      <c r="M255">
        <f>AVERAGE(B255:B305)</f>
        <v>1817.9039215686278</v>
      </c>
      <c r="N255">
        <f t="shared" si="46"/>
        <v>-10.100000000000364</v>
      </c>
      <c r="O255">
        <v>2.9611555555555924</v>
      </c>
      <c r="P255">
        <f t="shared" si="44"/>
        <v>-102.40334378265365</v>
      </c>
    </row>
    <row r="256" spans="1:43">
      <c r="A256" s="1">
        <v>255</v>
      </c>
      <c r="B256">
        <v>1912.7</v>
      </c>
      <c r="C256">
        <f t="shared" si="42"/>
        <v>1761.5394999999999</v>
      </c>
      <c r="D256">
        <f t="shared" si="38"/>
        <v>0.498046875</v>
      </c>
      <c r="E256">
        <f t="shared" si="39"/>
        <v>1644.5996855870053</v>
      </c>
      <c r="F256">
        <f t="shared" si="40"/>
        <v>151.16050000000018</v>
      </c>
      <c r="G256" t="s">
        <v>261</v>
      </c>
      <c r="H256">
        <v>187.5549</v>
      </c>
      <c r="I256">
        <f t="shared" si="37"/>
        <v>-36.39439999999982</v>
      </c>
      <c r="J256">
        <f t="shared" si="45"/>
        <v>-6.7966748575310001E-2</v>
      </c>
      <c r="K256">
        <f t="shared" si="41"/>
        <v>-25.5</v>
      </c>
      <c r="L256">
        <f t="shared" si="43"/>
        <v>1846.75</v>
      </c>
      <c r="M256">
        <f>AVERAGE(B256:B305)</f>
        <v>1815.9820000000004</v>
      </c>
      <c r="N256">
        <f t="shared" si="46"/>
        <v>-10.620000000000118</v>
      </c>
      <c r="O256">
        <v>-28.138844444444345</v>
      </c>
      <c r="P256">
        <f t="shared" si="44"/>
        <v>-6.7966748575310003</v>
      </c>
    </row>
    <row r="257" spans="1:25">
      <c r="A257" s="1">
        <v>256</v>
      </c>
      <c r="B257">
        <v>1887.2</v>
      </c>
      <c r="C257">
        <f t="shared" si="42"/>
        <v>1764.7903999999999</v>
      </c>
      <c r="D257">
        <f t="shared" si="38"/>
        <v>0.5</v>
      </c>
      <c r="E257">
        <f t="shared" si="39"/>
        <v>1776.142324201812</v>
      </c>
      <c r="F257">
        <f t="shared" si="40"/>
        <v>122.40960000000018</v>
      </c>
      <c r="G257" t="s">
        <v>262</v>
      </c>
      <c r="H257">
        <v>181.60400000000004</v>
      </c>
      <c r="I257">
        <f t="shared" si="37"/>
        <v>-59.19439999999986</v>
      </c>
      <c r="J257">
        <f t="shared" si="45"/>
        <v>-1.351208139041967</v>
      </c>
      <c r="K257">
        <f t="shared" si="41"/>
        <v>71.899999999999864</v>
      </c>
      <c r="L257">
        <f t="shared" si="43"/>
        <v>1837.2350000000001</v>
      </c>
      <c r="M257">
        <f>AVERAGE(B257:B307)</f>
        <v>1812.0784313725494</v>
      </c>
      <c r="N257">
        <f t="shared" si="46"/>
        <v>-9.5149999999998727</v>
      </c>
      <c r="O257">
        <v>-36.39439999999982</v>
      </c>
      <c r="P257">
        <f t="shared" si="44"/>
        <v>-135.12081390419669</v>
      </c>
      <c r="R257" s="19" t="s">
        <v>542</v>
      </c>
      <c r="S257" t="s">
        <v>645</v>
      </c>
      <c r="Y257" t="s">
        <v>622</v>
      </c>
    </row>
    <row r="258" spans="1:25">
      <c r="A258" s="1">
        <v>257</v>
      </c>
      <c r="B258">
        <v>1959.1</v>
      </c>
      <c r="C258">
        <f t="shared" si="42"/>
        <v>1768.0412999999999</v>
      </c>
      <c r="D258">
        <f t="shared" si="38"/>
        <v>0.501953125</v>
      </c>
      <c r="E258">
        <f t="shared" si="39"/>
        <v>865.90000000002306</v>
      </c>
      <c r="F258">
        <f t="shared" si="40"/>
        <v>191.05870000000004</v>
      </c>
      <c r="G258" t="s">
        <v>263</v>
      </c>
      <c r="H258">
        <v>174.28643333333338</v>
      </c>
      <c r="I258">
        <f t="shared" ref="I258:I321" si="49">B258-C258-H258</f>
        <v>16.772266666666667</v>
      </c>
      <c r="J258">
        <f t="shared" si="45"/>
        <v>3.6700525751620576</v>
      </c>
      <c r="K258">
        <f t="shared" si="41"/>
        <v>-66.099999999999909</v>
      </c>
      <c r="L258">
        <f t="shared" si="43"/>
        <v>1830.0700000000002</v>
      </c>
      <c r="M258">
        <f>AVERAGE(B258:B307)</f>
        <v>1810.576</v>
      </c>
      <c r="N258">
        <f t="shared" si="46"/>
        <v>-7.1649999999999636</v>
      </c>
      <c r="O258">
        <v>-59.19439999999986</v>
      </c>
      <c r="P258">
        <f t="shared" si="44"/>
        <v>367.00525751620575</v>
      </c>
      <c r="S258" t="s">
        <v>683</v>
      </c>
    </row>
    <row r="259" spans="1:25">
      <c r="A259" s="1">
        <v>258</v>
      </c>
      <c r="B259">
        <v>1893</v>
      </c>
      <c r="C259">
        <f t="shared" si="42"/>
        <v>1771.2921999999999</v>
      </c>
      <c r="D259">
        <f t="shared" ref="D259:D322" si="50">A259/512</f>
        <v>0.50390625</v>
      </c>
      <c r="E259">
        <f t="shared" ref="E259:E322" si="51">IMABS(G259)</f>
        <v>1776.1423242019412</v>
      </c>
      <c r="F259">
        <f t="shared" ref="F259:F322" si="52">B259-C259</f>
        <v>121.70780000000013</v>
      </c>
      <c r="G259" t="s">
        <v>264</v>
      </c>
      <c r="H259">
        <v>168.29108888888885</v>
      </c>
      <c r="I259">
        <f t="shared" si="49"/>
        <v>-46.583288888888717</v>
      </c>
      <c r="J259">
        <f t="shared" si="45"/>
        <v>-3.4918119387216016</v>
      </c>
      <c r="K259">
        <f t="shared" ref="K259:K322" si="53">B260-B259</f>
        <v>-14.799999999999955</v>
      </c>
      <c r="L259">
        <f t="shared" si="43"/>
        <v>1818.8499999999997</v>
      </c>
      <c r="M259">
        <f>AVERAGE(B259:B309)</f>
        <v>1806.9392156862743</v>
      </c>
      <c r="N259">
        <f t="shared" si="46"/>
        <v>-11.220000000000482</v>
      </c>
      <c r="O259">
        <v>16.772266666666667</v>
      </c>
      <c r="P259">
        <f t="shared" si="44"/>
        <v>-349.18119387216018</v>
      </c>
    </row>
    <row r="260" spans="1:25">
      <c r="A260" s="1">
        <v>259</v>
      </c>
      <c r="B260">
        <v>1878.2</v>
      </c>
      <c r="C260">
        <f t="shared" ref="C260:C323" si="54">3.2509*A260+932.56</f>
        <v>1774.5430999999999</v>
      </c>
      <c r="D260">
        <f t="shared" si="50"/>
        <v>0.505859375</v>
      </c>
      <c r="E260">
        <f t="shared" si="51"/>
        <v>1644.5996855870458</v>
      </c>
      <c r="F260">
        <f t="shared" si="52"/>
        <v>103.65690000000018</v>
      </c>
      <c r="G260" t="s">
        <v>265</v>
      </c>
      <c r="H260">
        <v>163.41796666666673</v>
      </c>
      <c r="I260">
        <f t="shared" si="49"/>
        <v>-59.761066666666551</v>
      </c>
      <c r="J260">
        <f t="shared" si="45"/>
        <v>-0.78798849962730033</v>
      </c>
      <c r="K260">
        <f t="shared" si="53"/>
        <v>-86.100000000000136</v>
      </c>
      <c r="L260">
        <f t="shared" ref="L260:L323" si="55">AVERAGE(B260:B279)</f>
        <v>1810.7150000000001</v>
      </c>
      <c r="M260">
        <f>AVERAGE(B260:B309)</f>
        <v>1805.2179999999998</v>
      </c>
      <c r="N260">
        <f t="shared" si="46"/>
        <v>-8.1349999999995362</v>
      </c>
      <c r="O260">
        <v>-46.583288888888717</v>
      </c>
      <c r="P260">
        <f t="shared" ref="P260:P323" si="56">J260*100</f>
        <v>-78.798849962730031</v>
      </c>
      <c r="S260" t="s">
        <v>623</v>
      </c>
      <c r="Y260" t="s">
        <v>624</v>
      </c>
    </row>
    <row r="261" spans="1:25">
      <c r="A261" s="1">
        <v>260</v>
      </c>
      <c r="B261">
        <v>1792.1</v>
      </c>
      <c r="C261">
        <f t="shared" si="54"/>
        <v>1777.7939999999999</v>
      </c>
      <c r="D261">
        <f t="shared" si="50"/>
        <v>0.5078125</v>
      </c>
      <c r="E261">
        <f t="shared" si="51"/>
        <v>1780.1875614309672</v>
      </c>
      <c r="F261">
        <f t="shared" si="52"/>
        <v>14.30600000000004</v>
      </c>
      <c r="G261" t="s">
        <v>266</v>
      </c>
      <c r="H261">
        <v>168.63373333333334</v>
      </c>
      <c r="I261">
        <f t="shared" si="49"/>
        <v>-154.3277333333333</v>
      </c>
      <c r="J261">
        <f t="shared" ref="J261:J324" si="57">((B261-B260)/B261)*100</f>
        <v>-4.8044193962390569</v>
      </c>
      <c r="K261">
        <f t="shared" si="53"/>
        <v>51.900000000000091</v>
      </c>
      <c r="L261">
        <f t="shared" si="55"/>
        <v>1804.1450000000004</v>
      </c>
      <c r="M261">
        <f>AVERAGE(B261:B311)</f>
        <v>1805.3431372549019</v>
      </c>
      <c r="N261">
        <f t="shared" ref="N261:N324" si="58">L261-L260</f>
        <v>-6.569999999999709</v>
      </c>
      <c r="O261">
        <v>-59.761066666666551</v>
      </c>
      <c r="P261">
        <f t="shared" si="56"/>
        <v>-480.44193962390568</v>
      </c>
    </row>
    <row r="262" spans="1:25">
      <c r="A262" s="1">
        <v>261</v>
      </c>
      <c r="B262">
        <v>1844</v>
      </c>
      <c r="C262">
        <f t="shared" si="54"/>
        <v>1781.0448999999999</v>
      </c>
      <c r="D262">
        <f t="shared" si="50"/>
        <v>0.509765625</v>
      </c>
      <c r="E262">
        <f t="shared" si="51"/>
        <v>1409.7744967435765</v>
      </c>
      <c r="F262">
        <f t="shared" si="52"/>
        <v>62.95510000000013</v>
      </c>
      <c r="G262" t="s">
        <v>267</v>
      </c>
      <c r="H262">
        <v>175.06061111111109</v>
      </c>
      <c r="I262">
        <f t="shared" si="49"/>
        <v>-112.10551111111096</v>
      </c>
      <c r="J262">
        <f t="shared" si="57"/>
        <v>2.814533622559658</v>
      </c>
      <c r="K262">
        <f t="shared" si="53"/>
        <v>3.5999999999999091</v>
      </c>
      <c r="L262">
        <f t="shared" si="55"/>
        <v>1803.65</v>
      </c>
      <c r="M262">
        <f>AVERAGE(B262:B311)</f>
        <v>1805.6079999999999</v>
      </c>
      <c r="N262">
        <f t="shared" si="58"/>
        <v>-0.49500000000034561</v>
      </c>
      <c r="O262">
        <v>-154.3277333333333</v>
      </c>
      <c r="P262">
        <f t="shared" si="56"/>
        <v>281.45336225596577</v>
      </c>
    </row>
    <row r="263" spans="1:25">
      <c r="A263" s="1">
        <v>262</v>
      </c>
      <c r="B263">
        <v>1847.6</v>
      </c>
      <c r="C263">
        <f t="shared" si="54"/>
        <v>1784.2957999999999</v>
      </c>
      <c r="D263">
        <f t="shared" si="50"/>
        <v>0.51171875</v>
      </c>
      <c r="E263">
        <f t="shared" si="51"/>
        <v>1361.2071665521071</v>
      </c>
      <c r="F263">
        <f t="shared" si="52"/>
        <v>63.304200000000037</v>
      </c>
      <c r="G263" t="s">
        <v>268</v>
      </c>
      <c r="H263">
        <v>175.60114444444446</v>
      </c>
      <c r="I263">
        <f t="shared" si="49"/>
        <v>-112.29694444444442</v>
      </c>
      <c r="J263">
        <f t="shared" si="57"/>
        <v>0.19484736956050602</v>
      </c>
      <c r="K263">
        <f t="shared" si="53"/>
        <v>45.400000000000091</v>
      </c>
      <c r="L263">
        <f t="shared" si="55"/>
        <v>1800.4450000000002</v>
      </c>
      <c r="M263">
        <f>AVERAGE(B263:B313)</f>
        <v>1805.4666666666665</v>
      </c>
      <c r="N263">
        <f t="shared" si="58"/>
        <v>-3.2049999999999272</v>
      </c>
      <c r="O263">
        <v>-112.10551111111096</v>
      </c>
      <c r="P263">
        <f t="shared" si="56"/>
        <v>19.484736956050604</v>
      </c>
    </row>
    <row r="264" spans="1:25">
      <c r="A264" s="1">
        <v>263</v>
      </c>
      <c r="B264">
        <v>1893</v>
      </c>
      <c r="C264">
        <f t="shared" si="54"/>
        <v>1787.5466999999999</v>
      </c>
      <c r="D264">
        <f t="shared" si="50"/>
        <v>0.513671875</v>
      </c>
      <c r="E264">
        <f t="shared" si="51"/>
        <v>1138.7054096861661</v>
      </c>
      <c r="F264">
        <f t="shared" si="52"/>
        <v>105.45330000000013</v>
      </c>
      <c r="G264" t="s">
        <v>269</v>
      </c>
      <c r="H264">
        <v>183.85024444444448</v>
      </c>
      <c r="I264">
        <f t="shared" si="49"/>
        <v>-78.396944444444358</v>
      </c>
      <c r="J264">
        <f t="shared" si="57"/>
        <v>2.3983095615425301</v>
      </c>
      <c r="K264">
        <f t="shared" si="53"/>
        <v>-5.5999999999999091</v>
      </c>
      <c r="L264">
        <f t="shared" si="55"/>
        <v>1796.5549999999998</v>
      </c>
      <c r="M264">
        <f>AVERAGE(B264:B313)</f>
        <v>1804.6239999999996</v>
      </c>
      <c r="N264">
        <f t="shared" si="58"/>
        <v>-3.8900000000003274</v>
      </c>
      <c r="O264">
        <v>-112.29694444444442</v>
      </c>
      <c r="P264">
        <f t="shared" si="56"/>
        <v>239.83095615425302</v>
      </c>
    </row>
    <row r="265" spans="1:25">
      <c r="A265" s="1">
        <v>264</v>
      </c>
      <c r="B265">
        <v>1887.4</v>
      </c>
      <c r="C265">
        <f t="shared" si="54"/>
        <v>1790.7975999999999</v>
      </c>
      <c r="D265">
        <f t="shared" si="50"/>
        <v>0.515625</v>
      </c>
      <c r="E265">
        <f t="shared" si="51"/>
        <v>1197.5441022574519</v>
      </c>
      <c r="F265">
        <f t="shared" si="52"/>
        <v>96.602400000000216</v>
      </c>
      <c r="G265" t="s">
        <v>270</v>
      </c>
      <c r="H265">
        <v>187.5549</v>
      </c>
      <c r="I265">
        <f t="shared" si="49"/>
        <v>-90.952499999999787</v>
      </c>
      <c r="J265">
        <f t="shared" si="57"/>
        <v>-0.29670446116350052</v>
      </c>
      <c r="K265">
        <f t="shared" si="53"/>
        <v>12.199999999999818</v>
      </c>
      <c r="L265">
        <f t="shared" si="55"/>
        <v>1793.5800000000004</v>
      </c>
      <c r="M265">
        <f>AVERAGE(B265:B315)</f>
        <v>1802.1764705882354</v>
      </c>
      <c r="N265">
        <f t="shared" si="58"/>
        <v>-2.9749999999994543</v>
      </c>
      <c r="O265">
        <v>-78.396944444444358</v>
      </c>
      <c r="P265">
        <f t="shared" si="56"/>
        <v>-29.670446116350053</v>
      </c>
    </row>
    <row r="266" spans="1:25">
      <c r="A266" s="1">
        <v>265</v>
      </c>
      <c r="B266">
        <v>1899.6</v>
      </c>
      <c r="C266">
        <f t="shared" si="54"/>
        <v>1794.0484999999999</v>
      </c>
      <c r="D266">
        <f t="shared" si="50"/>
        <v>0.517578125</v>
      </c>
      <c r="E266">
        <f t="shared" si="51"/>
        <v>1280.6090731464587</v>
      </c>
      <c r="F266">
        <f t="shared" si="52"/>
        <v>105.55150000000003</v>
      </c>
      <c r="G266" t="s">
        <v>271</v>
      </c>
      <c r="H266">
        <v>181.60400000000004</v>
      </c>
      <c r="I266">
        <f t="shared" si="49"/>
        <v>-76.052500000000009</v>
      </c>
      <c r="J266">
        <f t="shared" si="57"/>
        <v>0.6422404716782385</v>
      </c>
      <c r="K266">
        <f t="shared" si="53"/>
        <v>-59.899999999999864</v>
      </c>
      <c r="L266">
        <f t="shared" si="55"/>
        <v>1791.2099999999998</v>
      </c>
      <c r="M266">
        <f>AVERAGE(B266:B315)</f>
        <v>1800.4719999999998</v>
      </c>
      <c r="N266">
        <f t="shared" si="58"/>
        <v>-2.370000000000573</v>
      </c>
      <c r="O266">
        <v>-90.952499999999787</v>
      </c>
      <c r="P266">
        <f t="shared" si="56"/>
        <v>64.224047167823855</v>
      </c>
    </row>
    <row r="267" spans="1:25">
      <c r="A267" s="1">
        <v>266</v>
      </c>
      <c r="B267">
        <v>1839.7</v>
      </c>
      <c r="C267">
        <f t="shared" si="54"/>
        <v>1797.2993999999999</v>
      </c>
      <c r="D267">
        <f t="shared" si="50"/>
        <v>0.51953125</v>
      </c>
      <c r="E267">
        <f t="shared" si="51"/>
        <v>1642.4549877274801</v>
      </c>
      <c r="F267">
        <f t="shared" si="52"/>
        <v>42.400600000000168</v>
      </c>
      <c r="G267" t="s">
        <v>272</v>
      </c>
      <c r="H267">
        <v>174.28643333333338</v>
      </c>
      <c r="I267">
        <f t="shared" si="49"/>
        <v>-131.88583333333321</v>
      </c>
      <c r="J267">
        <f t="shared" si="57"/>
        <v>-3.2559656465728031</v>
      </c>
      <c r="K267">
        <f t="shared" si="53"/>
        <v>-6</v>
      </c>
      <c r="L267">
        <f t="shared" si="55"/>
        <v>1790.1750000000004</v>
      </c>
      <c r="M267">
        <f>AVERAGE(B267:B317)</f>
        <v>1798.9274509803922</v>
      </c>
      <c r="N267">
        <f t="shared" si="58"/>
        <v>-1.0349999999993997</v>
      </c>
      <c r="O267">
        <v>-76.052500000000009</v>
      </c>
      <c r="P267">
        <f t="shared" si="56"/>
        <v>-325.59656465728028</v>
      </c>
    </row>
    <row r="268" spans="1:25">
      <c r="A268" s="1">
        <v>267</v>
      </c>
      <c r="B268">
        <v>1833.7</v>
      </c>
      <c r="C268">
        <f t="shared" si="54"/>
        <v>1800.5502999999999</v>
      </c>
      <c r="D268">
        <f t="shared" si="50"/>
        <v>0.521484375</v>
      </c>
      <c r="E268">
        <f t="shared" si="51"/>
        <v>825.78939088904531</v>
      </c>
      <c r="F268">
        <f t="shared" si="52"/>
        <v>33.149700000000166</v>
      </c>
      <c r="G268" t="s">
        <v>273</v>
      </c>
      <c r="H268">
        <v>168.29108888888885</v>
      </c>
      <c r="I268">
        <f t="shared" si="49"/>
        <v>-135.14138888888868</v>
      </c>
      <c r="J268">
        <f t="shared" si="57"/>
        <v>-0.32720728581556419</v>
      </c>
      <c r="K268">
        <f t="shared" si="53"/>
        <v>26.200000000000045</v>
      </c>
      <c r="L268">
        <f t="shared" si="55"/>
        <v>1793.5350000000003</v>
      </c>
      <c r="M268">
        <f>AVERAGE(B268:B317)</f>
        <v>1798.1120000000001</v>
      </c>
      <c r="N268">
        <f t="shared" si="58"/>
        <v>3.3599999999999</v>
      </c>
      <c r="O268">
        <v>-131.88583333333321</v>
      </c>
      <c r="P268">
        <f t="shared" si="56"/>
        <v>-32.720728581556422</v>
      </c>
    </row>
    <row r="269" spans="1:25">
      <c r="A269" s="1">
        <v>268</v>
      </c>
      <c r="B269">
        <v>1859.9</v>
      </c>
      <c r="C269">
        <f t="shared" si="54"/>
        <v>1803.8011999999999</v>
      </c>
      <c r="D269">
        <f t="shared" si="50"/>
        <v>0.5234375</v>
      </c>
      <c r="E269">
        <f t="shared" si="51"/>
        <v>1431.876770034188</v>
      </c>
      <c r="F269">
        <f t="shared" si="52"/>
        <v>56.09880000000021</v>
      </c>
      <c r="G269" t="s">
        <v>274</v>
      </c>
      <c r="H269">
        <v>163.41796666666673</v>
      </c>
      <c r="I269">
        <f t="shared" si="49"/>
        <v>-107.31916666666652</v>
      </c>
      <c r="J269">
        <f t="shared" si="57"/>
        <v>1.408677885907847</v>
      </c>
      <c r="K269">
        <f t="shared" si="53"/>
        <v>-7.2000000000000455</v>
      </c>
      <c r="L269">
        <f t="shared" si="55"/>
        <v>1796.5400000000002</v>
      </c>
      <c r="M269">
        <f>AVERAGE(B269:B319)</f>
        <v>1798.0941176470585</v>
      </c>
      <c r="N269">
        <f t="shared" si="58"/>
        <v>3.0049999999998818</v>
      </c>
      <c r="O269">
        <v>-135.14138888888868</v>
      </c>
      <c r="P269">
        <f t="shared" si="56"/>
        <v>140.8677885907847</v>
      </c>
    </row>
    <row r="270" spans="1:25">
      <c r="A270" s="1">
        <v>269</v>
      </c>
      <c r="B270">
        <v>1852.7</v>
      </c>
      <c r="C270">
        <f t="shared" si="54"/>
        <v>1807.0520999999999</v>
      </c>
      <c r="D270">
        <f t="shared" si="50"/>
        <v>0.525390625</v>
      </c>
      <c r="E270">
        <f t="shared" si="51"/>
        <v>1016.9512053072726</v>
      </c>
      <c r="F270">
        <f t="shared" si="52"/>
        <v>45.647900000000163</v>
      </c>
      <c r="G270" t="s">
        <v>275</v>
      </c>
      <c r="H270">
        <v>168.63373333333334</v>
      </c>
      <c r="I270">
        <f t="shared" si="49"/>
        <v>-122.98583333333318</v>
      </c>
      <c r="J270">
        <f t="shared" si="57"/>
        <v>-0.38862201111890998</v>
      </c>
      <c r="K270">
        <f t="shared" si="53"/>
        <v>-37.100000000000136</v>
      </c>
      <c r="L270">
        <f t="shared" si="55"/>
        <v>1797.6300000000003</v>
      </c>
      <c r="M270">
        <f>AVERAGE(B270:B319)</f>
        <v>1796.8579999999999</v>
      </c>
      <c r="N270">
        <f t="shared" si="58"/>
        <v>1.0900000000001455</v>
      </c>
      <c r="O270">
        <v>-107.31916666666652</v>
      </c>
      <c r="P270">
        <f t="shared" si="56"/>
        <v>-38.862201111890997</v>
      </c>
      <c r="R270" s="27" t="s">
        <v>543</v>
      </c>
    </row>
    <row r="271" spans="1:25">
      <c r="A271" s="1">
        <v>270</v>
      </c>
      <c r="B271">
        <v>1815.6</v>
      </c>
      <c r="C271">
        <f t="shared" si="54"/>
        <v>1810.3029999999999</v>
      </c>
      <c r="D271">
        <f t="shared" si="50"/>
        <v>0.52734375</v>
      </c>
      <c r="E271">
        <f t="shared" si="51"/>
        <v>1057.8160790680463</v>
      </c>
      <c r="F271">
        <f t="shared" si="52"/>
        <v>5.2970000000000255</v>
      </c>
      <c r="G271" t="s">
        <v>276</v>
      </c>
      <c r="H271">
        <v>175.06061111111109</v>
      </c>
      <c r="I271">
        <f t="shared" si="49"/>
        <v>-169.76361111111106</v>
      </c>
      <c r="J271">
        <f t="shared" si="57"/>
        <v>-2.0434016303150551</v>
      </c>
      <c r="K271">
        <f t="shared" si="53"/>
        <v>10.400000000000091</v>
      </c>
      <c r="L271">
        <f t="shared" si="55"/>
        <v>1793.5400000000002</v>
      </c>
      <c r="M271">
        <f>AVERAGE(B271:B321)</f>
        <v>1796.9274509803922</v>
      </c>
      <c r="N271">
        <f t="shared" si="58"/>
        <v>-4.0900000000001455</v>
      </c>
      <c r="O271">
        <v>-122.98583333333318</v>
      </c>
      <c r="P271">
        <f t="shared" si="56"/>
        <v>-204.34016303150551</v>
      </c>
    </row>
    <row r="272" spans="1:25">
      <c r="A272" s="1">
        <v>271</v>
      </c>
      <c r="B272">
        <v>1826</v>
      </c>
      <c r="C272">
        <f t="shared" si="54"/>
        <v>1813.5538999999999</v>
      </c>
      <c r="D272">
        <f t="shared" si="50"/>
        <v>0.529296875</v>
      </c>
      <c r="E272">
        <f t="shared" si="51"/>
        <v>920.33896356273499</v>
      </c>
      <c r="F272">
        <f t="shared" si="52"/>
        <v>12.446100000000115</v>
      </c>
      <c r="G272" t="s">
        <v>277</v>
      </c>
      <c r="H272">
        <v>175.60114444444446</v>
      </c>
      <c r="I272">
        <f t="shared" si="49"/>
        <v>-163.15504444444434</v>
      </c>
      <c r="J272">
        <f t="shared" si="57"/>
        <v>0.56955093099671916</v>
      </c>
      <c r="K272">
        <f t="shared" si="53"/>
        <v>-45.700000000000045</v>
      </c>
      <c r="L272">
        <f t="shared" si="55"/>
        <v>1791.7500000000005</v>
      </c>
      <c r="M272">
        <f>AVERAGE(B272:B321)</f>
        <v>1796.5539999999999</v>
      </c>
      <c r="N272">
        <f t="shared" si="58"/>
        <v>-1.7899999999997362</v>
      </c>
      <c r="O272">
        <v>-169.76361111111106</v>
      </c>
      <c r="P272">
        <f t="shared" si="56"/>
        <v>56.955093099671913</v>
      </c>
    </row>
    <row r="273" spans="1:16">
      <c r="A273" s="1">
        <v>272</v>
      </c>
      <c r="B273">
        <v>1780.3</v>
      </c>
      <c r="C273">
        <f t="shared" si="54"/>
        <v>1816.8047999999999</v>
      </c>
      <c r="D273">
        <f t="shared" si="50"/>
        <v>0.53125</v>
      </c>
      <c r="E273">
        <f t="shared" si="51"/>
        <v>797.64988689222344</v>
      </c>
      <c r="F273">
        <f t="shared" si="52"/>
        <v>-36.504799999999932</v>
      </c>
      <c r="G273" t="s">
        <v>278</v>
      </c>
      <c r="H273">
        <v>183.85024444444448</v>
      </c>
      <c r="I273">
        <f t="shared" si="49"/>
        <v>-220.35504444444442</v>
      </c>
      <c r="J273">
        <f t="shared" si="57"/>
        <v>-2.5669830927371815</v>
      </c>
      <c r="K273">
        <f t="shared" si="53"/>
        <v>-48.700000000000045</v>
      </c>
      <c r="L273">
        <f t="shared" si="55"/>
        <v>1789.7100000000003</v>
      </c>
      <c r="M273">
        <f>AVERAGE(B273:B323)</f>
        <v>1796.1137254901962</v>
      </c>
      <c r="N273">
        <f t="shared" si="58"/>
        <v>-2.040000000000191</v>
      </c>
      <c r="O273">
        <v>-163.15504444444434</v>
      </c>
      <c r="P273">
        <f t="shared" si="56"/>
        <v>-256.69830927371817</v>
      </c>
    </row>
    <row r="274" spans="1:16">
      <c r="A274" s="1">
        <v>273</v>
      </c>
      <c r="B274">
        <v>1731.6</v>
      </c>
      <c r="C274">
        <f t="shared" si="54"/>
        <v>1820.0556999999999</v>
      </c>
      <c r="D274">
        <f t="shared" si="50"/>
        <v>0.533203125</v>
      </c>
      <c r="E274">
        <f t="shared" si="51"/>
        <v>945.02347740527875</v>
      </c>
      <c r="F274">
        <f t="shared" si="52"/>
        <v>-88.455699999999979</v>
      </c>
      <c r="G274" t="s">
        <v>279</v>
      </c>
      <c r="H274">
        <v>187.5549</v>
      </c>
      <c r="I274">
        <f t="shared" si="49"/>
        <v>-276.01059999999995</v>
      </c>
      <c r="J274">
        <f t="shared" si="57"/>
        <v>-2.8124278124278153</v>
      </c>
      <c r="K274">
        <f t="shared" si="53"/>
        <v>-30</v>
      </c>
      <c r="L274">
        <f t="shared" si="55"/>
        <v>1791.3</v>
      </c>
      <c r="M274">
        <f>AVERAGE(B274:B323)</f>
        <v>1796.43</v>
      </c>
      <c r="N274">
        <f t="shared" si="58"/>
        <v>1.5899999999996908</v>
      </c>
      <c r="O274">
        <v>-220.35504444444442</v>
      </c>
      <c r="P274">
        <f t="shared" si="56"/>
        <v>-281.24278124278152</v>
      </c>
    </row>
    <row r="275" spans="1:16">
      <c r="A275" s="1">
        <v>274</v>
      </c>
      <c r="B275">
        <v>1701.6</v>
      </c>
      <c r="C275">
        <f t="shared" si="54"/>
        <v>1823.3065999999999</v>
      </c>
      <c r="D275">
        <f t="shared" si="50"/>
        <v>0.53515625</v>
      </c>
      <c r="E275">
        <f t="shared" si="51"/>
        <v>935.40851769257426</v>
      </c>
      <c r="F275">
        <f t="shared" si="52"/>
        <v>-121.70659999999998</v>
      </c>
      <c r="G275" t="s">
        <v>280</v>
      </c>
      <c r="H275">
        <v>181.60400000000004</v>
      </c>
      <c r="I275">
        <f t="shared" si="49"/>
        <v>-303.31060000000002</v>
      </c>
      <c r="J275">
        <f t="shared" si="57"/>
        <v>-1.7630465444287728</v>
      </c>
      <c r="K275">
        <f t="shared" si="53"/>
        <v>20.800000000000182</v>
      </c>
      <c r="L275">
        <f t="shared" si="55"/>
        <v>1795.5549999999998</v>
      </c>
      <c r="M275">
        <f>AVERAGE(B275:B325)</f>
        <v>1800.7549019607845</v>
      </c>
      <c r="N275">
        <f t="shared" si="58"/>
        <v>4.2549999999998818</v>
      </c>
      <c r="O275">
        <v>-276.01059999999995</v>
      </c>
      <c r="P275">
        <f t="shared" si="56"/>
        <v>-176.30465444287728</v>
      </c>
    </row>
    <row r="276" spans="1:16">
      <c r="A276" s="1">
        <v>275</v>
      </c>
      <c r="B276">
        <v>1722.4</v>
      </c>
      <c r="C276">
        <f t="shared" si="54"/>
        <v>1826.5574999999999</v>
      </c>
      <c r="D276">
        <f t="shared" si="50"/>
        <v>0.537109375</v>
      </c>
      <c r="E276">
        <f t="shared" si="51"/>
        <v>843.2542223701721</v>
      </c>
      <c r="F276">
        <f t="shared" si="52"/>
        <v>-104.1574999999998</v>
      </c>
      <c r="G276" t="s">
        <v>281</v>
      </c>
      <c r="H276">
        <v>174.28643333333338</v>
      </c>
      <c r="I276">
        <f t="shared" si="49"/>
        <v>-278.44393333333318</v>
      </c>
      <c r="J276">
        <f t="shared" si="57"/>
        <v>1.2076172782164527</v>
      </c>
      <c r="K276">
        <f t="shared" si="53"/>
        <v>21.5</v>
      </c>
      <c r="L276">
        <f t="shared" si="55"/>
        <v>1800.655</v>
      </c>
      <c r="M276">
        <f>AVERAGE(B276:B325)</f>
        <v>1802.7380000000003</v>
      </c>
      <c r="N276">
        <f t="shared" si="58"/>
        <v>5.1000000000001364</v>
      </c>
      <c r="O276">
        <v>-303.31060000000002</v>
      </c>
      <c r="P276">
        <f t="shared" si="56"/>
        <v>120.76172782164527</v>
      </c>
    </row>
    <row r="277" spans="1:16">
      <c r="A277" s="1">
        <v>276</v>
      </c>
      <c r="B277">
        <v>1743.9</v>
      </c>
      <c r="C277">
        <f t="shared" si="54"/>
        <v>1829.8083999999999</v>
      </c>
      <c r="D277">
        <f t="shared" si="50"/>
        <v>0.5390625</v>
      </c>
      <c r="E277">
        <f t="shared" si="51"/>
        <v>1173.9939684875271</v>
      </c>
      <c r="F277">
        <f t="shared" si="52"/>
        <v>-85.908399999999801</v>
      </c>
      <c r="G277" t="s">
        <v>282</v>
      </c>
      <c r="H277">
        <v>168.29108888888885</v>
      </c>
      <c r="I277">
        <f t="shared" si="49"/>
        <v>-254.19948888888865</v>
      </c>
      <c r="J277">
        <f t="shared" si="57"/>
        <v>1.2328688571592408</v>
      </c>
      <c r="K277">
        <f t="shared" si="53"/>
        <v>-9.2000000000000455</v>
      </c>
      <c r="L277">
        <f t="shared" si="55"/>
        <v>1805.395</v>
      </c>
      <c r="M277">
        <f>AVERAGE(B277:B327)</f>
        <v>1809.3176470588237</v>
      </c>
      <c r="N277">
        <f t="shared" si="58"/>
        <v>4.7400000000000091</v>
      </c>
      <c r="O277">
        <v>-278.44393333333318</v>
      </c>
      <c r="P277">
        <f t="shared" si="56"/>
        <v>123.28688571592407</v>
      </c>
    </row>
    <row r="278" spans="1:16">
      <c r="A278" s="1">
        <v>277</v>
      </c>
      <c r="B278">
        <v>1734.7</v>
      </c>
      <c r="C278">
        <f t="shared" si="54"/>
        <v>1833.0592999999999</v>
      </c>
      <c r="D278">
        <f t="shared" si="50"/>
        <v>0.541015625</v>
      </c>
      <c r="E278">
        <f t="shared" si="51"/>
        <v>1214.768478552731</v>
      </c>
      <c r="F278">
        <f t="shared" si="52"/>
        <v>-98.359299999999848</v>
      </c>
      <c r="G278" t="s">
        <v>283</v>
      </c>
      <c r="H278">
        <v>163.41796666666673</v>
      </c>
      <c r="I278">
        <f t="shared" si="49"/>
        <v>-261.77726666666661</v>
      </c>
      <c r="J278">
        <f t="shared" si="57"/>
        <v>-0.53035106934916965</v>
      </c>
      <c r="K278">
        <f t="shared" si="53"/>
        <v>-4.4000000000000909</v>
      </c>
      <c r="L278">
        <f t="shared" si="55"/>
        <v>1806.355</v>
      </c>
      <c r="M278">
        <f>AVERAGE(B278:B327)</f>
        <v>1810.626</v>
      </c>
      <c r="N278">
        <f t="shared" si="58"/>
        <v>0.96000000000003638</v>
      </c>
      <c r="O278">
        <v>-254.19948888888865</v>
      </c>
      <c r="P278">
        <f t="shared" si="56"/>
        <v>-53.035106934916968</v>
      </c>
    </row>
    <row r="279" spans="1:16">
      <c r="A279" s="1">
        <v>278</v>
      </c>
      <c r="B279">
        <v>1730.3</v>
      </c>
      <c r="C279">
        <f t="shared" si="54"/>
        <v>1836.3101999999999</v>
      </c>
      <c r="D279">
        <f t="shared" si="50"/>
        <v>0.54296875</v>
      </c>
      <c r="E279">
        <f t="shared" si="51"/>
        <v>1106.3728455735295</v>
      </c>
      <c r="F279">
        <f t="shared" si="52"/>
        <v>-106.01019999999994</v>
      </c>
      <c r="G279" t="s">
        <v>284</v>
      </c>
      <c r="H279">
        <v>168.63373333333334</v>
      </c>
      <c r="I279">
        <f t="shared" si="49"/>
        <v>-274.64393333333328</v>
      </c>
      <c r="J279">
        <f t="shared" si="57"/>
        <v>-0.25429116338207775</v>
      </c>
      <c r="K279">
        <f t="shared" si="53"/>
        <v>16.5</v>
      </c>
      <c r="L279">
        <f t="shared" si="55"/>
        <v>1808.53</v>
      </c>
      <c r="M279">
        <f>AVERAGE(B279:B329)</f>
        <v>1818.0372549019608</v>
      </c>
      <c r="N279">
        <f t="shared" si="58"/>
        <v>2.1749999999999545</v>
      </c>
      <c r="O279">
        <v>-261.77726666666661</v>
      </c>
      <c r="P279">
        <f t="shared" si="56"/>
        <v>-25.429116338207773</v>
      </c>
    </row>
    <row r="280" spans="1:16">
      <c r="A280" s="1">
        <v>279</v>
      </c>
      <c r="B280">
        <v>1746.8</v>
      </c>
      <c r="C280">
        <f t="shared" si="54"/>
        <v>1839.5610999999999</v>
      </c>
      <c r="D280">
        <f t="shared" si="50"/>
        <v>0.544921875</v>
      </c>
      <c r="E280">
        <f t="shared" si="51"/>
        <v>621.73724795855298</v>
      </c>
      <c r="F280">
        <f t="shared" si="52"/>
        <v>-92.761099999999942</v>
      </c>
      <c r="G280" t="s">
        <v>285</v>
      </c>
      <c r="H280">
        <v>175.06061111111109</v>
      </c>
      <c r="I280">
        <f t="shared" si="49"/>
        <v>-267.82171111111103</v>
      </c>
      <c r="J280">
        <f t="shared" si="57"/>
        <v>0.94458438287153657</v>
      </c>
      <c r="K280">
        <f t="shared" si="53"/>
        <v>35.400000000000091</v>
      </c>
      <c r="L280">
        <f t="shared" si="55"/>
        <v>1811.2149999999997</v>
      </c>
      <c r="M280">
        <f>AVERAGE(B280:B329)</f>
        <v>1819.7919999999999</v>
      </c>
      <c r="N280">
        <f t="shared" si="58"/>
        <v>2.6849999999997181</v>
      </c>
      <c r="O280">
        <v>-274.64393333333328</v>
      </c>
      <c r="P280">
        <f t="shared" si="56"/>
        <v>94.458438287153655</v>
      </c>
    </row>
    <row r="281" spans="1:16">
      <c r="A281" s="1">
        <v>280</v>
      </c>
      <c r="B281">
        <v>1782.2</v>
      </c>
      <c r="C281">
        <f t="shared" si="54"/>
        <v>1842.8119999999999</v>
      </c>
      <c r="D281">
        <f t="shared" si="50"/>
        <v>0.546875</v>
      </c>
      <c r="E281">
        <f t="shared" si="51"/>
        <v>1817.3789743563607</v>
      </c>
      <c r="F281">
        <f t="shared" si="52"/>
        <v>-60.611999999999853</v>
      </c>
      <c r="G281" t="s">
        <v>286</v>
      </c>
      <c r="H281">
        <v>175.60114444444446</v>
      </c>
      <c r="I281">
        <f t="shared" si="49"/>
        <v>-236.21314444444431</v>
      </c>
      <c r="J281">
        <f t="shared" si="57"/>
        <v>1.9863090562226511</v>
      </c>
      <c r="K281">
        <f t="shared" si="53"/>
        <v>-2.2999999999999545</v>
      </c>
      <c r="L281">
        <f t="shared" si="55"/>
        <v>1814.85</v>
      </c>
      <c r="M281">
        <f>AVERAGE(B281:B331)</f>
        <v>1826.1137254901962</v>
      </c>
      <c r="N281">
        <f t="shared" si="58"/>
        <v>3.6350000000002183</v>
      </c>
      <c r="O281">
        <v>-267.82171111111103</v>
      </c>
      <c r="P281">
        <f t="shared" si="56"/>
        <v>198.63090562226512</v>
      </c>
    </row>
    <row r="282" spans="1:16">
      <c r="A282" s="1">
        <v>281</v>
      </c>
      <c r="B282">
        <v>1779.9</v>
      </c>
      <c r="C282">
        <f t="shared" si="54"/>
        <v>1846.0628999999999</v>
      </c>
      <c r="D282">
        <f t="shared" si="50"/>
        <v>0.548828125</v>
      </c>
      <c r="E282">
        <f t="shared" si="51"/>
        <v>1412.1672377289804</v>
      </c>
      <c r="F282">
        <f t="shared" si="52"/>
        <v>-66.162899999999809</v>
      </c>
      <c r="G282" t="s">
        <v>287</v>
      </c>
      <c r="H282">
        <v>183.85024444444448</v>
      </c>
      <c r="I282">
        <f t="shared" si="49"/>
        <v>-250.01314444444429</v>
      </c>
      <c r="J282">
        <f t="shared" si="57"/>
        <v>-0.12922074273835354</v>
      </c>
      <c r="K282">
        <f t="shared" si="53"/>
        <v>-10.100000000000136</v>
      </c>
      <c r="L282">
        <f t="shared" si="55"/>
        <v>1817.425</v>
      </c>
      <c r="M282">
        <f>AVERAGE(B282:B331)</f>
        <v>1826.9920000000002</v>
      </c>
      <c r="N282">
        <f t="shared" si="58"/>
        <v>2.5750000000000455</v>
      </c>
      <c r="O282">
        <v>-236.21314444444431</v>
      </c>
      <c r="P282">
        <f t="shared" si="56"/>
        <v>-12.922074273835355</v>
      </c>
    </row>
    <row r="283" spans="1:16">
      <c r="A283" s="1">
        <v>282</v>
      </c>
      <c r="B283">
        <v>1769.8</v>
      </c>
      <c r="C283">
        <f t="shared" si="54"/>
        <v>1849.3137999999999</v>
      </c>
      <c r="D283">
        <f t="shared" si="50"/>
        <v>0.55078125</v>
      </c>
      <c r="E283">
        <f t="shared" si="51"/>
        <v>1741.393709437581</v>
      </c>
      <c r="F283">
        <f t="shared" si="52"/>
        <v>-79.513799999999947</v>
      </c>
      <c r="G283" t="s">
        <v>288</v>
      </c>
      <c r="H283">
        <v>187.5549</v>
      </c>
      <c r="I283">
        <f t="shared" si="49"/>
        <v>-267.06869999999992</v>
      </c>
      <c r="J283">
        <f t="shared" si="57"/>
        <v>-0.57068595321506033</v>
      </c>
      <c r="K283">
        <f t="shared" si="53"/>
        <v>63.700000000000045</v>
      </c>
      <c r="L283">
        <f t="shared" si="55"/>
        <v>1818.0349999999999</v>
      </c>
      <c r="M283">
        <f>AVERAGE(B283:B333)</f>
        <v>1833.401960784314</v>
      </c>
      <c r="N283">
        <f t="shared" si="58"/>
        <v>0.60999999999989996</v>
      </c>
      <c r="O283">
        <v>-250.01314444444429</v>
      </c>
      <c r="P283">
        <f t="shared" si="56"/>
        <v>-57.068595321506031</v>
      </c>
    </row>
    <row r="284" spans="1:16">
      <c r="A284" s="1">
        <v>283</v>
      </c>
      <c r="B284">
        <v>1833.5</v>
      </c>
      <c r="C284">
        <f t="shared" si="54"/>
        <v>1852.5646999999999</v>
      </c>
      <c r="D284">
        <f t="shared" si="50"/>
        <v>0.552734375</v>
      </c>
      <c r="E284">
        <f t="shared" si="51"/>
        <v>978.44915154049897</v>
      </c>
      <c r="F284">
        <f t="shared" si="52"/>
        <v>-19.064699999999903</v>
      </c>
      <c r="G284" t="s">
        <v>289</v>
      </c>
      <c r="H284">
        <v>181.60400000000004</v>
      </c>
      <c r="I284">
        <f t="shared" si="49"/>
        <v>-200.66869999999994</v>
      </c>
      <c r="J284">
        <f t="shared" si="57"/>
        <v>3.4742296154895032</v>
      </c>
      <c r="K284">
        <f t="shared" si="53"/>
        <v>6.5</v>
      </c>
      <c r="L284">
        <f t="shared" si="55"/>
        <v>1817.1149999999998</v>
      </c>
      <c r="M284">
        <f>AVERAGE(B284:B333)</f>
        <v>1834.6740000000002</v>
      </c>
      <c r="N284">
        <f t="shared" si="58"/>
        <v>-0.92000000000007276</v>
      </c>
      <c r="O284">
        <v>-267.06869999999992</v>
      </c>
      <c r="P284">
        <f t="shared" si="56"/>
        <v>347.4229615489503</v>
      </c>
    </row>
    <row r="285" spans="1:16">
      <c r="A285" s="1">
        <v>284</v>
      </c>
      <c r="B285">
        <v>1840</v>
      </c>
      <c r="C285">
        <f t="shared" si="54"/>
        <v>1855.8155999999999</v>
      </c>
      <c r="D285">
        <f t="shared" si="50"/>
        <v>0.5546875</v>
      </c>
      <c r="E285">
        <f t="shared" si="51"/>
        <v>2267.9824053056805</v>
      </c>
      <c r="F285">
        <f t="shared" si="52"/>
        <v>-15.815599999999904</v>
      </c>
      <c r="G285" t="s">
        <v>290</v>
      </c>
      <c r="H285">
        <v>174.28643333333338</v>
      </c>
      <c r="I285">
        <f t="shared" si="49"/>
        <v>-190.10203333333328</v>
      </c>
      <c r="J285">
        <f t="shared" si="57"/>
        <v>0.35326086956521741</v>
      </c>
      <c r="K285">
        <f t="shared" si="53"/>
        <v>38.900000000000091</v>
      </c>
      <c r="L285">
        <f t="shared" si="55"/>
        <v>1813.0249999999996</v>
      </c>
      <c r="M285">
        <f>AVERAGE(B285:B335)</f>
        <v>1838.4352941176473</v>
      </c>
      <c r="N285">
        <f t="shared" si="58"/>
        <v>-4.0900000000001455</v>
      </c>
      <c r="O285">
        <v>-200.66869999999994</v>
      </c>
      <c r="P285">
        <f t="shared" si="56"/>
        <v>35.326086956521742</v>
      </c>
    </row>
    <row r="286" spans="1:16">
      <c r="A286" s="1">
        <v>285</v>
      </c>
      <c r="B286">
        <v>1878.9</v>
      </c>
      <c r="C286">
        <f t="shared" si="54"/>
        <v>1859.0664999999999</v>
      </c>
      <c r="D286">
        <f t="shared" si="50"/>
        <v>0.556640625</v>
      </c>
      <c r="E286">
        <f t="shared" si="51"/>
        <v>1325.1676240193299</v>
      </c>
      <c r="F286">
        <f t="shared" si="52"/>
        <v>19.833500000000186</v>
      </c>
      <c r="G286" t="s">
        <v>291</v>
      </c>
      <c r="H286">
        <v>168.29108888888885</v>
      </c>
      <c r="I286">
        <f t="shared" si="49"/>
        <v>-148.45758888888867</v>
      </c>
      <c r="J286">
        <f t="shared" si="57"/>
        <v>2.0703603172068812</v>
      </c>
      <c r="K286">
        <f t="shared" si="53"/>
        <v>28</v>
      </c>
      <c r="L286">
        <f t="shared" si="55"/>
        <v>1809.03</v>
      </c>
      <c r="M286">
        <f>AVERAGE(B286:B335)</f>
        <v>1838.4040000000002</v>
      </c>
      <c r="N286">
        <f t="shared" si="58"/>
        <v>-3.9949999999996635</v>
      </c>
      <c r="O286">
        <v>-190.10203333333328</v>
      </c>
      <c r="P286">
        <f t="shared" si="56"/>
        <v>207.03603172068813</v>
      </c>
    </row>
    <row r="287" spans="1:16">
      <c r="A287" s="1">
        <v>286</v>
      </c>
      <c r="B287">
        <v>1906.9</v>
      </c>
      <c r="C287">
        <f t="shared" si="54"/>
        <v>1862.3173999999999</v>
      </c>
      <c r="D287">
        <f t="shared" si="50"/>
        <v>0.55859375</v>
      </c>
      <c r="E287">
        <f t="shared" si="51"/>
        <v>1511.8677088617417</v>
      </c>
      <c r="F287">
        <f t="shared" si="52"/>
        <v>44.582600000000184</v>
      </c>
      <c r="G287" t="s">
        <v>292</v>
      </c>
      <c r="H287">
        <v>163.41796666666673</v>
      </c>
      <c r="I287">
        <f t="shared" si="49"/>
        <v>-118.83536666666654</v>
      </c>
      <c r="J287">
        <f t="shared" si="57"/>
        <v>1.4683517751324138</v>
      </c>
      <c r="K287">
        <f t="shared" si="53"/>
        <v>-13.100000000000136</v>
      </c>
      <c r="L287">
        <f t="shared" si="55"/>
        <v>1803.0550000000003</v>
      </c>
      <c r="M287">
        <f>AVERAGE(B287:B337)</f>
        <v>1838.1627450980395</v>
      </c>
      <c r="N287">
        <f t="shared" si="58"/>
        <v>-5.9749999999996817</v>
      </c>
      <c r="O287">
        <v>-148.45758888888867</v>
      </c>
      <c r="P287">
        <f t="shared" si="56"/>
        <v>146.83517751324138</v>
      </c>
    </row>
    <row r="288" spans="1:16">
      <c r="A288" s="1">
        <v>287</v>
      </c>
      <c r="B288">
        <v>1893.8</v>
      </c>
      <c r="C288">
        <f t="shared" si="54"/>
        <v>1865.5682999999999</v>
      </c>
      <c r="D288">
        <f t="shared" si="50"/>
        <v>0.560546875</v>
      </c>
      <c r="E288">
        <f t="shared" si="51"/>
        <v>1420.8495185049542</v>
      </c>
      <c r="F288">
        <f t="shared" si="52"/>
        <v>28.231700000000046</v>
      </c>
      <c r="G288" t="s">
        <v>293</v>
      </c>
      <c r="H288">
        <v>168.63373333333334</v>
      </c>
      <c r="I288">
        <f t="shared" si="49"/>
        <v>-140.40203333333329</v>
      </c>
      <c r="J288">
        <f t="shared" si="57"/>
        <v>-0.69173091139508591</v>
      </c>
      <c r="K288">
        <f t="shared" si="53"/>
        <v>-12.099999999999909</v>
      </c>
      <c r="L288">
        <f t="shared" si="55"/>
        <v>1796.22</v>
      </c>
      <c r="M288">
        <f>AVERAGE(B288:B337)</f>
        <v>1836.7880000000005</v>
      </c>
      <c r="N288">
        <f t="shared" si="58"/>
        <v>-6.8350000000002638</v>
      </c>
      <c r="O288">
        <v>-118.83536666666654</v>
      </c>
      <c r="P288">
        <f t="shared" si="56"/>
        <v>-69.173091139508585</v>
      </c>
    </row>
    <row r="289" spans="1:16">
      <c r="A289" s="1">
        <v>288</v>
      </c>
      <c r="B289">
        <v>1881.7</v>
      </c>
      <c r="C289">
        <f t="shared" si="54"/>
        <v>1868.8191999999999</v>
      </c>
      <c r="D289">
        <f t="shared" si="50"/>
        <v>0.5625</v>
      </c>
      <c r="E289">
        <f t="shared" si="51"/>
        <v>1280.4451857362699</v>
      </c>
      <c r="F289">
        <f t="shared" si="52"/>
        <v>12.880800000000136</v>
      </c>
      <c r="G289" t="s">
        <v>294</v>
      </c>
      <c r="H289">
        <v>175.06061111111109</v>
      </c>
      <c r="I289">
        <f t="shared" si="49"/>
        <v>-162.17981111111095</v>
      </c>
      <c r="J289">
        <f t="shared" si="57"/>
        <v>-0.64303555295742731</v>
      </c>
      <c r="K289">
        <f t="shared" si="53"/>
        <v>-110.79999999999995</v>
      </c>
      <c r="L289">
        <f t="shared" si="55"/>
        <v>1791.4450000000004</v>
      </c>
      <c r="M289">
        <f>AVERAGE(B289:B339)</f>
        <v>1836.4509803921571</v>
      </c>
      <c r="N289">
        <f t="shared" si="58"/>
        <v>-4.7749999999996362</v>
      </c>
      <c r="O289">
        <v>-140.40203333333329</v>
      </c>
      <c r="P289">
        <f t="shared" si="56"/>
        <v>-64.303555295742726</v>
      </c>
    </row>
    <row r="290" spans="1:16">
      <c r="A290" s="1">
        <v>289</v>
      </c>
      <c r="B290">
        <v>1770.9</v>
      </c>
      <c r="C290">
        <f t="shared" si="54"/>
        <v>1872.0700999999999</v>
      </c>
      <c r="D290">
        <f t="shared" si="50"/>
        <v>0.564453125</v>
      </c>
      <c r="E290">
        <f t="shared" si="51"/>
        <v>1492.9331219615913</v>
      </c>
      <c r="F290">
        <f t="shared" si="52"/>
        <v>-101.17009999999982</v>
      </c>
      <c r="G290" t="s">
        <v>295</v>
      </c>
      <c r="H290">
        <v>175.60114444444446</v>
      </c>
      <c r="I290">
        <f t="shared" si="49"/>
        <v>-276.77124444444428</v>
      </c>
      <c r="J290">
        <f t="shared" si="57"/>
        <v>-6.256705629905694</v>
      </c>
      <c r="K290">
        <f t="shared" si="53"/>
        <v>8.8999999999998636</v>
      </c>
      <c r="L290">
        <f t="shared" si="55"/>
        <v>1786.6550000000002</v>
      </c>
      <c r="M290">
        <f>AVERAGE(B290:B339)</f>
        <v>1835.546</v>
      </c>
      <c r="N290">
        <f t="shared" si="58"/>
        <v>-4.790000000000191</v>
      </c>
      <c r="O290">
        <v>-162.17981111111095</v>
      </c>
      <c r="P290">
        <f t="shared" si="56"/>
        <v>-625.67056299056935</v>
      </c>
    </row>
    <row r="291" spans="1:16">
      <c r="A291" s="1">
        <v>290</v>
      </c>
      <c r="B291">
        <v>1779.8</v>
      </c>
      <c r="C291">
        <f t="shared" si="54"/>
        <v>1875.3209999999999</v>
      </c>
      <c r="D291">
        <f t="shared" si="50"/>
        <v>0.56640625</v>
      </c>
      <c r="E291">
        <f t="shared" si="51"/>
        <v>654.72087025321036</v>
      </c>
      <c r="F291">
        <f t="shared" si="52"/>
        <v>-95.520999999999958</v>
      </c>
      <c r="G291" t="s">
        <v>296</v>
      </c>
      <c r="H291">
        <v>183.85024444444448</v>
      </c>
      <c r="I291">
        <f t="shared" si="49"/>
        <v>-279.37124444444441</v>
      </c>
      <c r="J291">
        <f t="shared" si="57"/>
        <v>0.50005618608831692</v>
      </c>
      <c r="K291">
        <f t="shared" si="53"/>
        <v>5.4000000000000909</v>
      </c>
      <c r="L291">
        <f t="shared" si="55"/>
        <v>1789.0600000000002</v>
      </c>
      <c r="M291">
        <f>AVERAGE(B291:B341)</f>
        <v>1838.2078431372549</v>
      </c>
      <c r="N291">
        <f t="shared" si="58"/>
        <v>2.4049999999999727</v>
      </c>
      <c r="O291">
        <v>-276.77124444444428</v>
      </c>
      <c r="P291">
        <f t="shared" si="56"/>
        <v>50.005618608831689</v>
      </c>
    </row>
    <row r="292" spans="1:16">
      <c r="A292" s="1">
        <v>291</v>
      </c>
      <c r="B292">
        <v>1785.2</v>
      </c>
      <c r="C292">
        <f t="shared" si="54"/>
        <v>1878.5718999999999</v>
      </c>
      <c r="D292">
        <f t="shared" si="50"/>
        <v>0.568359375</v>
      </c>
      <c r="E292">
        <f t="shared" si="51"/>
        <v>1565.7169159223679</v>
      </c>
      <c r="F292">
        <f t="shared" si="52"/>
        <v>-93.371899999999869</v>
      </c>
      <c r="G292" t="s">
        <v>297</v>
      </c>
      <c r="H292">
        <v>187.5549</v>
      </c>
      <c r="I292">
        <f t="shared" si="49"/>
        <v>-280.92679999999984</v>
      </c>
      <c r="J292">
        <f t="shared" si="57"/>
        <v>0.30248711628949648</v>
      </c>
      <c r="K292">
        <f t="shared" si="53"/>
        <v>26.899999999999864</v>
      </c>
      <c r="L292">
        <f t="shared" si="55"/>
        <v>1793.6100000000006</v>
      </c>
      <c r="M292">
        <f>AVERAGE(B292:B341)</f>
        <v>1839.3760000000004</v>
      </c>
      <c r="N292">
        <f t="shared" si="58"/>
        <v>4.5500000000004093</v>
      </c>
      <c r="O292">
        <v>-279.37124444444441</v>
      </c>
      <c r="P292">
        <f t="shared" si="56"/>
        <v>30.24871162894965</v>
      </c>
    </row>
    <row r="293" spans="1:16">
      <c r="A293" s="1">
        <v>292</v>
      </c>
      <c r="B293">
        <v>1812.1</v>
      </c>
      <c r="C293">
        <f t="shared" si="54"/>
        <v>1881.8227999999999</v>
      </c>
      <c r="D293">
        <f t="shared" si="50"/>
        <v>0.5703125</v>
      </c>
      <c r="E293">
        <f t="shared" si="51"/>
        <v>1275.7305573219664</v>
      </c>
      <c r="F293">
        <f t="shared" si="52"/>
        <v>-69.722800000000007</v>
      </c>
      <c r="G293" t="s">
        <v>298</v>
      </c>
      <c r="H293">
        <v>181.60400000000004</v>
      </c>
      <c r="I293">
        <f t="shared" si="49"/>
        <v>-251.32680000000005</v>
      </c>
      <c r="J293">
        <f t="shared" si="57"/>
        <v>1.4844655372220001</v>
      </c>
      <c r="K293">
        <f t="shared" si="53"/>
        <v>4.6000000000001364</v>
      </c>
      <c r="L293">
        <f t="shared" si="55"/>
        <v>1797.0650000000005</v>
      </c>
      <c r="M293">
        <f>AVERAGE(B293:B343)</f>
        <v>1840.6372549019613</v>
      </c>
      <c r="N293">
        <f t="shared" si="58"/>
        <v>3.4549999999999272</v>
      </c>
      <c r="O293">
        <v>-280.92679999999984</v>
      </c>
      <c r="P293">
        <f t="shared" si="56"/>
        <v>148.44655372220001</v>
      </c>
    </row>
    <row r="294" spans="1:16">
      <c r="A294" s="1">
        <v>293</v>
      </c>
      <c r="B294">
        <v>1816.7</v>
      </c>
      <c r="C294">
        <f t="shared" si="54"/>
        <v>1885.0736999999999</v>
      </c>
      <c r="D294">
        <f t="shared" si="50"/>
        <v>0.572265625</v>
      </c>
      <c r="E294">
        <f t="shared" si="51"/>
        <v>1694.7341080059409</v>
      </c>
      <c r="F294">
        <f t="shared" si="52"/>
        <v>-68.373699999999872</v>
      </c>
      <c r="G294" t="s">
        <v>299</v>
      </c>
      <c r="H294">
        <v>174.28643333333338</v>
      </c>
      <c r="I294">
        <f t="shared" si="49"/>
        <v>-242.66013333333325</v>
      </c>
      <c r="J294">
        <f t="shared" si="57"/>
        <v>0.25320636318600409</v>
      </c>
      <c r="K294">
        <f t="shared" si="53"/>
        <v>-13.100000000000136</v>
      </c>
      <c r="L294">
        <f t="shared" si="55"/>
        <v>1795.8650000000002</v>
      </c>
      <c r="M294">
        <f>AVERAGE(B294:B343)</f>
        <v>1841.2080000000005</v>
      </c>
      <c r="N294">
        <f t="shared" si="58"/>
        <v>-1.2000000000002728</v>
      </c>
      <c r="O294">
        <v>-251.32680000000005</v>
      </c>
      <c r="P294">
        <f t="shared" si="56"/>
        <v>25.32063631860041</v>
      </c>
    </row>
    <row r="295" spans="1:16">
      <c r="A295" s="1">
        <v>294</v>
      </c>
      <c r="B295">
        <v>1803.6</v>
      </c>
      <c r="C295">
        <f t="shared" si="54"/>
        <v>1888.3245999999999</v>
      </c>
      <c r="D295">
        <f t="shared" si="50"/>
        <v>0.57421875</v>
      </c>
      <c r="E295">
        <f t="shared" si="51"/>
        <v>1433.9326979592115</v>
      </c>
      <c r="F295">
        <f t="shared" si="52"/>
        <v>-84.724600000000009</v>
      </c>
      <c r="G295" t="s">
        <v>300</v>
      </c>
      <c r="H295">
        <v>168.29108888888885</v>
      </c>
      <c r="I295">
        <f t="shared" si="49"/>
        <v>-253.01568888888886</v>
      </c>
      <c r="J295">
        <f t="shared" si="57"/>
        <v>-0.72632512752273992</v>
      </c>
      <c r="K295">
        <f t="shared" si="53"/>
        <v>13.600000000000136</v>
      </c>
      <c r="L295">
        <f t="shared" si="55"/>
        <v>1794.3200000000002</v>
      </c>
      <c r="M295">
        <f>AVERAGE(B295:B345)</f>
        <v>1839.313725490196</v>
      </c>
      <c r="N295">
        <f t="shared" si="58"/>
        <v>-1.5450000000000728</v>
      </c>
      <c r="O295">
        <v>-242.66013333333325</v>
      </c>
      <c r="P295">
        <f t="shared" si="56"/>
        <v>-72.632512752273996</v>
      </c>
    </row>
    <row r="296" spans="1:16">
      <c r="A296" s="1">
        <v>295</v>
      </c>
      <c r="B296">
        <v>1817.2</v>
      </c>
      <c r="C296">
        <f t="shared" si="54"/>
        <v>1891.5754999999999</v>
      </c>
      <c r="D296">
        <f t="shared" si="50"/>
        <v>0.576171875</v>
      </c>
      <c r="E296">
        <f t="shared" si="51"/>
        <v>1398.0067008159642</v>
      </c>
      <c r="F296">
        <f t="shared" si="52"/>
        <v>-74.375499999999874</v>
      </c>
      <c r="G296" t="s">
        <v>301</v>
      </c>
      <c r="H296">
        <v>163.41796666666673</v>
      </c>
      <c r="I296">
        <f t="shared" si="49"/>
        <v>-237.7934666666666</v>
      </c>
      <c r="J296">
        <f t="shared" si="57"/>
        <v>0.74840413823465424</v>
      </c>
      <c r="K296">
        <f t="shared" si="53"/>
        <v>-54.100000000000136</v>
      </c>
      <c r="L296">
        <f t="shared" si="55"/>
        <v>1793.4900000000002</v>
      </c>
      <c r="M296">
        <f>AVERAGE(B296:B345)</f>
        <v>1840.0280000000002</v>
      </c>
      <c r="N296">
        <f t="shared" si="58"/>
        <v>-0.82999999999992724</v>
      </c>
      <c r="O296">
        <v>-253.01568888888886</v>
      </c>
      <c r="P296">
        <f t="shared" si="56"/>
        <v>74.840413823465425</v>
      </c>
    </row>
    <row r="297" spans="1:16">
      <c r="A297" s="1">
        <v>296</v>
      </c>
      <c r="B297">
        <v>1763.1</v>
      </c>
      <c r="C297">
        <f t="shared" si="54"/>
        <v>1894.8263999999999</v>
      </c>
      <c r="D297">
        <f t="shared" si="50"/>
        <v>0.578125</v>
      </c>
      <c r="E297">
        <f t="shared" si="51"/>
        <v>1714.2752280674019</v>
      </c>
      <c r="F297">
        <f t="shared" si="52"/>
        <v>-131.72640000000001</v>
      </c>
      <c r="G297" t="s">
        <v>302</v>
      </c>
      <c r="H297">
        <v>168.63373333333334</v>
      </c>
      <c r="I297">
        <f t="shared" si="49"/>
        <v>-300.36013333333335</v>
      </c>
      <c r="J297">
        <f t="shared" si="57"/>
        <v>-3.0684589643242095</v>
      </c>
      <c r="K297">
        <f t="shared" si="53"/>
        <v>15.100000000000136</v>
      </c>
      <c r="L297">
        <f t="shared" si="55"/>
        <v>1792.9950000000001</v>
      </c>
      <c r="M297">
        <f>AVERAGE(B297:B347)</f>
        <v>1835.8980392156866</v>
      </c>
      <c r="N297">
        <f t="shared" si="58"/>
        <v>-0.49500000000011823</v>
      </c>
      <c r="O297">
        <v>-237.7934666666666</v>
      </c>
      <c r="P297">
        <f t="shared" si="56"/>
        <v>-306.84589643242094</v>
      </c>
    </row>
    <row r="298" spans="1:16">
      <c r="A298" s="1">
        <v>297</v>
      </c>
      <c r="B298">
        <v>1778.2</v>
      </c>
      <c r="C298">
        <f t="shared" si="54"/>
        <v>1898.0772999999999</v>
      </c>
      <c r="D298">
        <f t="shared" si="50"/>
        <v>0.580078125</v>
      </c>
      <c r="E298">
        <f t="shared" si="51"/>
        <v>770.96925308846346</v>
      </c>
      <c r="F298">
        <f t="shared" si="52"/>
        <v>-119.87729999999988</v>
      </c>
      <c r="G298" t="s">
        <v>303</v>
      </c>
      <c r="H298">
        <v>175.06061111111109</v>
      </c>
      <c r="I298">
        <f t="shared" si="49"/>
        <v>-294.93791111111096</v>
      </c>
      <c r="J298">
        <f t="shared" si="57"/>
        <v>0.84917332133619028</v>
      </c>
      <c r="K298">
        <f t="shared" si="53"/>
        <v>5.7999999999999545</v>
      </c>
      <c r="L298">
        <f t="shared" si="55"/>
        <v>1795.5399999999997</v>
      </c>
      <c r="M298">
        <f>AVERAGE(B298:B347)</f>
        <v>1837.354</v>
      </c>
      <c r="N298">
        <f t="shared" si="58"/>
        <v>2.544999999999618</v>
      </c>
      <c r="O298">
        <v>-300.36013333333335</v>
      </c>
      <c r="P298">
        <f t="shared" si="56"/>
        <v>84.917332133619027</v>
      </c>
    </row>
    <row r="299" spans="1:16">
      <c r="A299" s="1">
        <v>298</v>
      </c>
      <c r="B299">
        <v>1784</v>
      </c>
      <c r="C299">
        <f t="shared" si="54"/>
        <v>1901.3281999999999</v>
      </c>
      <c r="D299">
        <f t="shared" si="50"/>
        <v>0.58203125</v>
      </c>
      <c r="E299">
        <f t="shared" si="51"/>
        <v>1802.9977436577867</v>
      </c>
      <c r="F299">
        <f t="shared" si="52"/>
        <v>-117.32819999999992</v>
      </c>
      <c r="G299" t="s">
        <v>304</v>
      </c>
      <c r="H299">
        <v>175.60114444444446</v>
      </c>
      <c r="I299">
        <f t="shared" si="49"/>
        <v>-292.92934444444438</v>
      </c>
      <c r="J299">
        <f t="shared" si="57"/>
        <v>0.32511210762331583</v>
      </c>
      <c r="K299">
        <f t="shared" si="53"/>
        <v>35.5</v>
      </c>
      <c r="L299">
        <f t="shared" si="55"/>
        <v>1798.1799999999998</v>
      </c>
      <c r="M299">
        <f>AVERAGE(B299:B349)</f>
        <v>1836.5196078431372</v>
      </c>
      <c r="N299">
        <f t="shared" si="58"/>
        <v>2.6400000000001</v>
      </c>
      <c r="O299">
        <v>-294.93791111111096</v>
      </c>
      <c r="P299">
        <f t="shared" si="56"/>
        <v>32.511210762331579</v>
      </c>
    </row>
    <row r="300" spans="1:16">
      <c r="A300" s="1">
        <v>299</v>
      </c>
      <c r="B300">
        <v>1819.5</v>
      </c>
      <c r="C300">
        <f t="shared" si="54"/>
        <v>1904.5790999999999</v>
      </c>
      <c r="D300">
        <f t="shared" si="50"/>
        <v>0.583984375</v>
      </c>
      <c r="E300">
        <f t="shared" si="51"/>
        <v>702.48417295714557</v>
      </c>
      <c r="F300">
        <f t="shared" si="52"/>
        <v>-85.079099999999926</v>
      </c>
      <c r="G300" t="s">
        <v>305</v>
      </c>
      <c r="H300">
        <v>183.85024444444448</v>
      </c>
      <c r="I300">
        <f t="shared" si="49"/>
        <v>-268.92934444444438</v>
      </c>
      <c r="J300">
        <f t="shared" si="57"/>
        <v>1.9510854630392964</v>
      </c>
      <c r="K300">
        <f t="shared" si="53"/>
        <v>14.200000000000045</v>
      </c>
      <c r="L300">
        <f t="shared" si="55"/>
        <v>1798.9749999999997</v>
      </c>
      <c r="M300">
        <f>AVERAGE(B300:B349)</f>
        <v>1837.57</v>
      </c>
      <c r="N300">
        <f t="shared" si="58"/>
        <v>0.79499999999984539</v>
      </c>
      <c r="O300">
        <v>-292.92934444444438</v>
      </c>
      <c r="P300">
        <f t="shared" si="56"/>
        <v>195.10854630392964</v>
      </c>
    </row>
    <row r="301" spans="1:16">
      <c r="A301" s="1">
        <v>300</v>
      </c>
      <c r="B301">
        <v>1833.7</v>
      </c>
      <c r="C301">
        <f t="shared" si="54"/>
        <v>1907.83</v>
      </c>
      <c r="D301">
        <f t="shared" si="50"/>
        <v>0.5859375</v>
      </c>
      <c r="E301">
        <f t="shared" si="51"/>
        <v>1604.041479695979</v>
      </c>
      <c r="F301">
        <f t="shared" si="52"/>
        <v>-74.129999999999882</v>
      </c>
      <c r="G301" t="s">
        <v>306</v>
      </c>
      <c r="H301">
        <v>187.5549</v>
      </c>
      <c r="I301">
        <f t="shared" si="49"/>
        <v>-261.68489999999986</v>
      </c>
      <c r="J301">
        <f t="shared" si="57"/>
        <v>0.77439057643017095</v>
      </c>
      <c r="K301">
        <f t="shared" si="53"/>
        <v>-41.600000000000136</v>
      </c>
      <c r="L301">
        <f t="shared" si="55"/>
        <v>1798.9499999999996</v>
      </c>
      <c r="M301">
        <f>AVERAGE(B301:B351)</f>
        <v>1836.0274509803921</v>
      </c>
      <c r="N301">
        <f t="shared" si="58"/>
        <v>-2.5000000000090949E-2</v>
      </c>
      <c r="O301">
        <v>-268.92934444444438</v>
      </c>
      <c r="P301">
        <f t="shared" si="56"/>
        <v>77.439057643017094</v>
      </c>
    </row>
    <row r="302" spans="1:16">
      <c r="A302" s="1">
        <v>301</v>
      </c>
      <c r="B302">
        <v>1792.1</v>
      </c>
      <c r="C302">
        <f t="shared" si="54"/>
        <v>1911.0808999999999</v>
      </c>
      <c r="D302">
        <f t="shared" si="50"/>
        <v>0.587890625</v>
      </c>
      <c r="E302">
        <f t="shared" si="51"/>
        <v>782.76413353412465</v>
      </c>
      <c r="F302">
        <f t="shared" si="52"/>
        <v>-118.98090000000002</v>
      </c>
      <c r="G302" t="s">
        <v>307</v>
      </c>
      <c r="H302">
        <v>181.60400000000004</v>
      </c>
      <c r="I302">
        <f t="shared" si="49"/>
        <v>-300.58490000000006</v>
      </c>
      <c r="J302">
        <f t="shared" si="57"/>
        <v>-2.3212990346520921</v>
      </c>
      <c r="K302">
        <f t="shared" si="53"/>
        <v>-40.699999999999818</v>
      </c>
      <c r="L302">
        <f t="shared" si="55"/>
        <v>1798.9699999999998</v>
      </c>
      <c r="M302">
        <f>AVERAGE(B302:B351)</f>
        <v>1836.0739999999996</v>
      </c>
      <c r="N302">
        <f t="shared" si="58"/>
        <v>2.0000000000209184E-2</v>
      </c>
      <c r="O302">
        <v>-261.68489999999986</v>
      </c>
      <c r="P302">
        <f t="shared" si="56"/>
        <v>-232.1299034652092</v>
      </c>
    </row>
    <row r="303" spans="1:16">
      <c r="A303" s="1">
        <v>302</v>
      </c>
      <c r="B303">
        <v>1751.4</v>
      </c>
      <c r="C303">
        <f t="shared" si="54"/>
        <v>1914.3317999999999</v>
      </c>
      <c r="D303">
        <f t="shared" si="50"/>
        <v>0.58984375</v>
      </c>
      <c r="E303">
        <f t="shared" si="51"/>
        <v>1535.6534164287129</v>
      </c>
      <c r="F303">
        <f t="shared" si="52"/>
        <v>-162.93179999999984</v>
      </c>
      <c r="G303" t="s">
        <v>308</v>
      </c>
      <c r="H303">
        <v>174.28643333333338</v>
      </c>
      <c r="I303">
        <f t="shared" si="49"/>
        <v>-337.21823333333322</v>
      </c>
      <c r="J303">
        <f t="shared" si="57"/>
        <v>-2.3238552015530325</v>
      </c>
      <c r="K303">
        <f t="shared" si="53"/>
        <v>0.29999999999995453</v>
      </c>
      <c r="L303">
        <f t="shared" si="55"/>
        <v>1798.83</v>
      </c>
      <c r="M303">
        <f>AVERAGE(B303:B353)</f>
        <v>1833.0196078431372</v>
      </c>
      <c r="N303">
        <f t="shared" si="58"/>
        <v>-0.13999999999987267</v>
      </c>
      <c r="O303">
        <v>-300.58490000000006</v>
      </c>
      <c r="P303">
        <f t="shared" si="56"/>
        <v>-232.38552015530325</v>
      </c>
    </row>
    <row r="304" spans="1:16">
      <c r="A304" s="1">
        <v>303</v>
      </c>
      <c r="B304">
        <v>1751.7</v>
      </c>
      <c r="C304">
        <f t="shared" si="54"/>
        <v>1917.5826999999999</v>
      </c>
      <c r="D304">
        <f t="shared" si="50"/>
        <v>0.591796875</v>
      </c>
      <c r="E304">
        <f t="shared" si="51"/>
        <v>1577.3458135452797</v>
      </c>
      <c r="F304">
        <f t="shared" si="52"/>
        <v>-165.88269999999989</v>
      </c>
      <c r="G304" t="s">
        <v>309</v>
      </c>
      <c r="H304">
        <v>168.29108888888885</v>
      </c>
      <c r="I304">
        <f t="shared" si="49"/>
        <v>-334.17378888888874</v>
      </c>
      <c r="J304">
        <f t="shared" si="57"/>
        <v>1.7126220243189733E-2</v>
      </c>
      <c r="K304">
        <f t="shared" si="53"/>
        <v>8.3999999999998636</v>
      </c>
      <c r="L304">
        <f t="shared" si="55"/>
        <v>1801.8</v>
      </c>
      <c r="M304">
        <f>AVERAGE(B304:B353)</f>
        <v>1834.652</v>
      </c>
      <c r="N304">
        <f t="shared" si="58"/>
        <v>2.9700000000000273</v>
      </c>
      <c r="O304">
        <v>-337.21823333333322</v>
      </c>
      <c r="P304">
        <f t="shared" si="56"/>
        <v>1.7126220243189734</v>
      </c>
    </row>
    <row r="305" spans="1:16">
      <c r="A305" s="1">
        <v>304</v>
      </c>
      <c r="B305">
        <v>1760.1</v>
      </c>
      <c r="C305">
        <f t="shared" si="54"/>
        <v>1920.8335999999999</v>
      </c>
      <c r="D305">
        <f t="shared" si="50"/>
        <v>0.59375</v>
      </c>
      <c r="E305">
        <f t="shared" si="51"/>
        <v>1018.0594232355324</v>
      </c>
      <c r="F305">
        <f t="shared" si="52"/>
        <v>-160.73360000000002</v>
      </c>
      <c r="G305" t="s">
        <v>310</v>
      </c>
      <c r="H305">
        <v>163.41796666666673</v>
      </c>
      <c r="I305">
        <f t="shared" si="49"/>
        <v>-324.15156666666678</v>
      </c>
      <c r="J305">
        <f t="shared" si="57"/>
        <v>0.47724561104481927</v>
      </c>
      <c r="K305">
        <f t="shared" si="53"/>
        <v>-0.6999999999998181</v>
      </c>
      <c r="L305">
        <f t="shared" si="55"/>
        <v>1806.4899999999998</v>
      </c>
      <c r="M305">
        <f>AVERAGE(B305:B355)</f>
        <v>1831.2352941176471</v>
      </c>
      <c r="N305">
        <f t="shared" si="58"/>
        <v>4.6899999999998272</v>
      </c>
      <c r="O305">
        <v>-334.17378888888874</v>
      </c>
      <c r="P305">
        <f t="shared" si="56"/>
        <v>47.724561104481928</v>
      </c>
    </row>
    <row r="306" spans="1:16">
      <c r="A306" s="1">
        <v>305</v>
      </c>
      <c r="B306">
        <v>1759.4</v>
      </c>
      <c r="C306">
        <f t="shared" si="54"/>
        <v>1924.0844999999999</v>
      </c>
      <c r="D306">
        <f t="shared" si="50"/>
        <v>0.595703125</v>
      </c>
      <c r="E306">
        <f t="shared" si="51"/>
        <v>1649.3790487484221</v>
      </c>
      <c r="F306">
        <f t="shared" si="52"/>
        <v>-164.68449999999984</v>
      </c>
      <c r="G306" t="s">
        <v>311</v>
      </c>
      <c r="H306">
        <v>168.63373333333334</v>
      </c>
      <c r="I306">
        <f t="shared" si="49"/>
        <v>-333.31823333333318</v>
      </c>
      <c r="J306">
        <f t="shared" si="57"/>
        <v>-3.9786290780937712E-2</v>
      </c>
      <c r="K306">
        <f t="shared" si="53"/>
        <v>10.799999999999955</v>
      </c>
      <c r="L306">
        <f t="shared" si="55"/>
        <v>1813.6399999999999</v>
      </c>
      <c r="M306">
        <f>AVERAGE(B306:B355)</f>
        <v>1832.6580000000001</v>
      </c>
      <c r="N306">
        <f t="shared" si="58"/>
        <v>7.1500000000000909</v>
      </c>
      <c r="O306">
        <v>-324.15156666666678</v>
      </c>
      <c r="P306">
        <f t="shared" si="56"/>
        <v>-3.9786290780937712</v>
      </c>
    </row>
    <row r="307" spans="1:16">
      <c r="A307" s="1">
        <v>306</v>
      </c>
      <c r="B307">
        <v>1770.2</v>
      </c>
      <c r="C307">
        <f t="shared" si="54"/>
        <v>1927.3353999999999</v>
      </c>
      <c r="D307">
        <f t="shared" si="50"/>
        <v>0.59765625</v>
      </c>
      <c r="E307">
        <f t="shared" si="51"/>
        <v>1254.0963769718712</v>
      </c>
      <c r="F307">
        <f t="shared" si="52"/>
        <v>-157.13539999999989</v>
      </c>
      <c r="G307" t="s">
        <v>312</v>
      </c>
      <c r="H307">
        <v>175.06061111111109</v>
      </c>
      <c r="I307">
        <f t="shared" si="49"/>
        <v>-332.19601111111098</v>
      </c>
      <c r="J307">
        <f t="shared" si="57"/>
        <v>0.61010055360975901</v>
      </c>
      <c r="K307">
        <f t="shared" si="53"/>
        <v>28.099999999999909</v>
      </c>
      <c r="L307">
        <f t="shared" si="55"/>
        <v>1820.2099999999998</v>
      </c>
      <c r="M307">
        <f>AVERAGE(B307:B357)</f>
        <v>1827.7254901960787</v>
      </c>
      <c r="N307">
        <f t="shared" si="58"/>
        <v>6.5699999999999363</v>
      </c>
      <c r="O307">
        <v>-333.31823333333318</v>
      </c>
      <c r="P307">
        <f t="shared" si="56"/>
        <v>61.010055360975898</v>
      </c>
    </row>
    <row r="308" spans="1:16">
      <c r="A308" s="1">
        <v>307</v>
      </c>
      <c r="B308">
        <v>1798.3</v>
      </c>
      <c r="C308">
        <f t="shared" si="54"/>
        <v>1930.5862999999999</v>
      </c>
      <c r="D308">
        <f t="shared" si="50"/>
        <v>0.599609375</v>
      </c>
      <c r="E308">
        <f t="shared" si="51"/>
        <v>1856.9795493776146</v>
      </c>
      <c r="F308">
        <f t="shared" si="52"/>
        <v>-132.28629999999998</v>
      </c>
      <c r="G308" t="s">
        <v>313</v>
      </c>
      <c r="H308">
        <v>175.60114444444446</v>
      </c>
      <c r="I308">
        <f t="shared" si="49"/>
        <v>-307.88744444444444</v>
      </c>
      <c r="J308">
        <f t="shared" si="57"/>
        <v>1.5625868876160771</v>
      </c>
      <c r="K308">
        <f t="shared" si="53"/>
        <v>-12.399999999999864</v>
      </c>
      <c r="L308">
        <f t="shared" si="55"/>
        <v>1830.1950000000002</v>
      </c>
      <c r="M308">
        <f>AVERAGE(B308:B357)</f>
        <v>1828.876</v>
      </c>
      <c r="N308">
        <f t="shared" si="58"/>
        <v>9.9850000000003547</v>
      </c>
      <c r="O308">
        <v>-332.19601111111098</v>
      </c>
      <c r="P308">
        <f t="shared" si="56"/>
        <v>156.25868876160771</v>
      </c>
    </row>
    <row r="309" spans="1:16">
      <c r="A309" s="1">
        <v>308</v>
      </c>
      <c r="B309">
        <v>1785.9</v>
      </c>
      <c r="C309">
        <f t="shared" si="54"/>
        <v>1933.8371999999999</v>
      </c>
      <c r="D309">
        <f t="shared" si="50"/>
        <v>0.6015625</v>
      </c>
      <c r="E309">
        <f t="shared" si="51"/>
        <v>1492.4105206030979</v>
      </c>
      <c r="F309">
        <f t="shared" si="52"/>
        <v>-147.93719999999985</v>
      </c>
      <c r="G309" t="s">
        <v>314</v>
      </c>
      <c r="H309">
        <v>183.85024444444448</v>
      </c>
      <c r="I309">
        <f t="shared" si="49"/>
        <v>-331.7874444444443</v>
      </c>
      <c r="J309">
        <f t="shared" si="57"/>
        <v>-0.69432778990984167</v>
      </c>
      <c r="K309">
        <f t="shared" si="53"/>
        <v>33.099999999999909</v>
      </c>
      <c r="L309">
        <f t="shared" si="55"/>
        <v>1839.75</v>
      </c>
      <c r="M309">
        <f>AVERAGE(B309:B359)</f>
        <v>1824.1392156862748</v>
      </c>
      <c r="N309">
        <f t="shared" si="58"/>
        <v>9.5549999999998363</v>
      </c>
      <c r="O309">
        <v>-307.88744444444444</v>
      </c>
      <c r="P309">
        <f t="shared" si="56"/>
        <v>-69.432778990984161</v>
      </c>
    </row>
    <row r="310" spans="1:16">
      <c r="A310" s="1">
        <v>309</v>
      </c>
      <c r="B310">
        <v>1819</v>
      </c>
      <c r="C310">
        <f t="shared" si="54"/>
        <v>1937.0880999999999</v>
      </c>
      <c r="D310">
        <f t="shared" si="50"/>
        <v>0.603515625</v>
      </c>
      <c r="E310">
        <f t="shared" si="51"/>
        <v>1320.1622102604963</v>
      </c>
      <c r="F310">
        <f t="shared" si="52"/>
        <v>-118.08809999999994</v>
      </c>
      <c r="G310" t="s">
        <v>315</v>
      </c>
      <c r="H310">
        <v>187.5549</v>
      </c>
      <c r="I310">
        <f t="shared" si="49"/>
        <v>-305.64299999999992</v>
      </c>
      <c r="J310">
        <f t="shared" si="57"/>
        <v>1.8196811434854263</v>
      </c>
      <c r="K310">
        <f t="shared" si="53"/>
        <v>51.799999999999955</v>
      </c>
      <c r="L310">
        <f t="shared" si="55"/>
        <v>1847.15</v>
      </c>
      <c r="M310">
        <f>AVERAGE(B310:B359)</f>
        <v>1824.9040000000005</v>
      </c>
      <c r="N310">
        <f t="shared" si="58"/>
        <v>7.4000000000000909</v>
      </c>
      <c r="O310">
        <v>-331.7874444444443</v>
      </c>
      <c r="P310">
        <f t="shared" si="56"/>
        <v>181.96811434854263</v>
      </c>
    </row>
    <row r="311" spans="1:16">
      <c r="A311" s="1">
        <v>310</v>
      </c>
      <c r="B311">
        <v>1870.8</v>
      </c>
      <c r="C311">
        <f t="shared" si="54"/>
        <v>1940.3389999999999</v>
      </c>
      <c r="D311">
        <f t="shared" si="50"/>
        <v>0.60546875</v>
      </c>
      <c r="E311">
        <f t="shared" si="51"/>
        <v>1265.9895612473183</v>
      </c>
      <c r="F311">
        <f t="shared" si="52"/>
        <v>-69.538999999999987</v>
      </c>
      <c r="G311" t="s">
        <v>316</v>
      </c>
      <c r="H311">
        <v>181.60400000000004</v>
      </c>
      <c r="I311">
        <f t="shared" si="49"/>
        <v>-251.14300000000003</v>
      </c>
      <c r="J311">
        <f t="shared" si="57"/>
        <v>2.7688689330767562</v>
      </c>
      <c r="K311">
        <f t="shared" si="53"/>
        <v>-16.5</v>
      </c>
      <c r="L311">
        <f t="shared" si="55"/>
        <v>1854.1899999999998</v>
      </c>
      <c r="M311">
        <f>AVERAGE(B311:B361)</f>
        <v>1818.7352941176473</v>
      </c>
      <c r="N311">
        <f t="shared" si="58"/>
        <v>7.0399999999997362</v>
      </c>
      <c r="O311">
        <v>-305.64299999999992</v>
      </c>
      <c r="P311">
        <f t="shared" si="56"/>
        <v>276.88689330767562</v>
      </c>
    </row>
    <row r="312" spans="1:16">
      <c r="A312" s="1">
        <v>311</v>
      </c>
      <c r="B312">
        <v>1854.3</v>
      </c>
      <c r="C312">
        <f t="shared" si="54"/>
        <v>1943.5898999999999</v>
      </c>
      <c r="D312">
        <f t="shared" si="50"/>
        <v>0.607421875</v>
      </c>
      <c r="E312">
        <f t="shared" si="51"/>
        <v>979.99571118882</v>
      </c>
      <c r="F312">
        <f t="shared" si="52"/>
        <v>-89.289899999999989</v>
      </c>
      <c r="G312" t="s">
        <v>317</v>
      </c>
      <c r="H312">
        <v>174.28643333333338</v>
      </c>
      <c r="I312">
        <f t="shared" si="49"/>
        <v>-263.57633333333337</v>
      </c>
      <c r="J312">
        <f t="shared" si="57"/>
        <v>-0.88982365313056144</v>
      </c>
      <c r="K312">
        <f t="shared" si="53"/>
        <v>-66.200000000000045</v>
      </c>
      <c r="L312">
        <f t="shared" si="55"/>
        <v>1857.11</v>
      </c>
      <c r="M312">
        <f>AVERAGE(B312:B361)</f>
        <v>1817.6940000000002</v>
      </c>
      <c r="N312">
        <f t="shared" si="58"/>
        <v>2.9200000000000728</v>
      </c>
      <c r="O312">
        <v>-251.14300000000003</v>
      </c>
      <c r="P312">
        <f t="shared" si="56"/>
        <v>-88.98236531305615</v>
      </c>
    </row>
    <row r="313" spans="1:16">
      <c r="A313" s="1">
        <v>312</v>
      </c>
      <c r="B313">
        <v>1788.1</v>
      </c>
      <c r="C313">
        <f t="shared" si="54"/>
        <v>1946.8407999999999</v>
      </c>
      <c r="D313">
        <f t="shared" si="50"/>
        <v>0.609375</v>
      </c>
      <c r="E313">
        <f t="shared" si="51"/>
        <v>1238.9564147249857</v>
      </c>
      <c r="F313">
        <f t="shared" si="52"/>
        <v>-158.74080000000004</v>
      </c>
      <c r="G313" t="s">
        <v>318</v>
      </c>
      <c r="H313">
        <v>168.29108888888885</v>
      </c>
      <c r="I313">
        <f t="shared" si="49"/>
        <v>-327.03188888888889</v>
      </c>
      <c r="J313">
        <f t="shared" si="57"/>
        <v>-3.7022537889379814</v>
      </c>
      <c r="K313">
        <f t="shared" si="53"/>
        <v>-2.2999999999999545</v>
      </c>
      <c r="L313">
        <f t="shared" si="55"/>
        <v>1862.0049999999999</v>
      </c>
      <c r="M313">
        <f>AVERAGE(B313:B363)</f>
        <v>1813.8137254901967</v>
      </c>
      <c r="N313">
        <f t="shared" si="58"/>
        <v>4.8949999999999818</v>
      </c>
      <c r="O313">
        <v>-263.57633333333337</v>
      </c>
      <c r="P313">
        <f t="shared" si="56"/>
        <v>-370.22537889379817</v>
      </c>
    </row>
    <row r="314" spans="1:16">
      <c r="A314" s="1">
        <v>313</v>
      </c>
      <c r="B314">
        <v>1785.8</v>
      </c>
      <c r="C314">
        <f t="shared" si="54"/>
        <v>1950.0916999999999</v>
      </c>
      <c r="D314">
        <f t="shared" si="50"/>
        <v>0.611328125</v>
      </c>
      <c r="E314">
        <f t="shared" si="51"/>
        <v>657.48743209632653</v>
      </c>
      <c r="F314">
        <f t="shared" si="52"/>
        <v>-164.29169999999999</v>
      </c>
      <c r="G314" t="s">
        <v>319</v>
      </c>
      <c r="H314">
        <v>163.41796666666673</v>
      </c>
      <c r="I314">
        <f t="shared" si="49"/>
        <v>-327.70966666666675</v>
      </c>
      <c r="J314">
        <f t="shared" si="57"/>
        <v>-0.12879381789673841</v>
      </c>
      <c r="K314">
        <f t="shared" si="53"/>
        <v>1.2000000000000455</v>
      </c>
      <c r="L314">
        <f t="shared" si="55"/>
        <v>1871.6799999999998</v>
      </c>
      <c r="M314">
        <f>AVERAGE(B314:B363)</f>
        <v>1814.3280000000007</v>
      </c>
      <c r="N314">
        <f t="shared" si="58"/>
        <v>9.6749999999999545</v>
      </c>
      <c r="O314">
        <v>-327.03188888888889</v>
      </c>
      <c r="P314">
        <f t="shared" si="56"/>
        <v>-12.879381789673841</v>
      </c>
    </row>
    <row r="315" spans="1:16">
      <c r="A315" s="1">
        <v>314</v>
      </c>
      <c r="B315">
        <v>1787</v>
      </c>
      <c r="C315">
        <f t="shared" si="54"/>
        <v>1953.3425999999999</v>
      </c>
      <c r="D315">
        <f t="shared" si="50"/>
        <v>0.61328125</v>
      </c>
      <c r="E315">
        <f t="shared" si="51"/>
        <v>1700.7582089988491</v>
      </c>
      <c r="F315">
        <f t="shared" si="52"/>
        <v>-166.34259999999995</v>
      </c>
      <c r="G315" t="s">
        <v>320</v>
      </c>
      <c r="H315">
        <v>168.63373333333334</v>
      </c>
      <c r="I315">
        <f t="shared" si="49"/>
        <v>-334.97633333333329</v>
      </c>
      <c r="J315">
        <f t="shared" si="57"/>
        <v>6.7151650811418329E-2</v>
      </c>
      <c r="K315">
        <f t="shared" si="53"/>
        <v>20.299999999999955</v>
      </c>
      <c r="L315">
        <f t="shared" si="55"/>
        <v>1879.4600000000003</v>
      </c>
      <c r="M315">
        <f>AVERAGE(B315:B365)</f>
        <v>1813.105882352942</v>
      </c>
      <c r="N315">
        <f t="shared" si="58"/>
        <v>7.7800000000004275</v>
      </c>
      <c r="O315">
        <v>-327.70966666666675</v>
      </c>
      <c r="P315">
        <f t="shared" si="56"/>
        <v>6.7151650811418326</v>
      </c>
    </row>
    <row r="316" spans="1:16">
      <c r="A316" s="1">
        <v>315</v>
      </c>
      <c r="B316">
        <v>1807.3</v>
      </c>
      <c r="C316">
        <f t="shared" si="54"/>
        <v>1956.5934999999999</v>
      </c>
      <c r="D316">
        <f t="shared" si="50"/>
        <v>0.615234375</v>
      </c>
      <c r="E316">
        <f t="shared" si="51"/>
        <v>1039.4578182644411</v>
      </c>
      <c r="F316">
        <f t="shared" si="52"/>
        <v>-149.29349999999999</v>
      </c>
      <c r="G316" t="s">
        <v>321</v>
      </c>
      <c r="H316">
        <v>175.06061111111109</v>
      </c>
      <c r="I316">
        <f t="shared" si="49"/>
        <v>-324.35411111111108</v>
      </c>
      <c r="J316">
        <f t="shared" si="57"/>
        <v>1.123222486582192</v>
      </c>
      <c r="K316">
        <f t="shared" si="53"/>
        <v>6.7000000000000455</v>
      </c>
      <c r="L316">
        <f t="shared" si="55"/>
        <v>1886.0400000000002</v>
      </c>
      <c r="M316">
        <f>AVERAGE(B316:B365)</f>
        <v>1813.6280000000008</v>
      </c>
      <c r="N316">
        <f t="shared" si="58"/>
        <v>6.5799999999999272</v>
      </c>
      <c r="O316">
        <v>-334.97633333333329</v>
      </c>
      <c r="P316">
        <f t="shared" si="56"/>
        <v>112.32224865821921</v>
      </c>
    </row>
    <row r="317" spans="1:16">
      <c r="A317" s="1">
        <v>316</v>
      </c>
      <c r="B317">
        <v>1814</v>
      </c>
      <c r="C317">
        <f t="shared" si="54"/>
        <v>1959.8444</v>
      </c>
      <c r="D317">
        <f t="shared" si="50"/>
        <v>0.6171875</v>
      </c>
      <c r="E317">
        <f t="shared" si="51"/>
        <v>1812.0057728222453</v>
      </c>
      <c r="F317">
        <f t="shared" si="52"/>
        <v>-145.84439999999995</v>
      </c>
      <c r="G317" t="s">
        <v>322</v>
      </c>
      <c r="H317">
        <v>175.60114444444446</v>
      </c>
      <c r="I317">
        <f t="shared" si="49"/>
        <v>-321.44554444444441</v>
      </c>
      <c r="J317">
        <f t="shared" si="57"/>
        <v>0.36934950385887788</v>
      </c>
      <c r="K317">
        <f t="shared" si="53"/>
        <v>17</v>
      </c>
      <c r="L317">
        <f t="shared" si="55"/>
        <v>1890.1849999999999</v>
      </c>
      <c r="M317">
        <f>AVERAGE(B317:B367)</f>
        <v>1814.2098039215691</v>
      </c>
      <c r="N317">
        <f t="shared" si="58"/>
        <v>4.1449999999997544</v>
      </c>
      <c r="O317">
        <v>-324.35411111111108</v>
      </c>
      <c r="P317">
        <f t="shared" si="56"/>
        <v>36.934950385887788</v>
      </c>
    </row>
    <row r="318" spans="1:16">
      <c r="A318" s="1">
        <v>317</v>
      </c>
      <c r="B318">
        <v>1831</v>
      </c>
      <c r="C318">
        <f t="shared" si="54"/>
        <v>1963.0953</v>
      </c>
      <c r="D318">
        <f t="shared" si="50"/>
        <v>0.619140625</v>
      </c>
      <c r="E318">
        <f t="shared" si="51"/>
        <v>1783.5172148882687</v>
      </c>
      <c r="F318">
        <f t="shared" si="52"/>
        <v>-132.09529999999995</v>
      </c>
      <c r="G318" t="s">
        <v>323</v>
      </c>
      <c r="H318">
        <v>183.85024444444448</v>
      </c>
      <c r="I318">
        <f t="shared" si="49"/>
        <v>-315.94554444444441</v>
      </c>
      <c r="J318">
        <f t="shared" si="57"/>
        <v>0.92845439650464223</v>
      </c>
      <c r="K318">
        <f t="shared" si="53"/>
        <v>-31.099999999999909</v>
      </c>
      <c r="L318">
        <f t="shared" si="55"/>
        <v>1890.2250000000004</v>
      </c>
      <c r="M318">
        <f>AVERAGE(B318:B367)</f>
        <v>1814.2140000000009</v>
      </c>
      <c r="N318">
        <f t="shared" si="58"/>
        <v>4.0000000000418368E-2</v>
      </c>
      <c r="O318">
        <v>-321.44554444444441</v>
      </c>
      <c r="P318">
        <f t="shared" si="56"/>
        <v>92.845439650464229</v>
      </c>
    </row>
    <row r="319" spans="1:16">
      <c r="A319" s="1">
        <v>318</v>
      </c>
      <c r="B319">
        <v>1799.9</v>
      </c>
      <c r="C319">
        <f t="shared" si="54"/>
        <v>1966.3462</v>
      </c>
      <c r="D319">
        <f t="shared" si="50"/>
        <v>0.62109375</v>
      </c>
      <c r="E319">
        <f t="shared" si="51"/>
        <v>1691.3452560924295</v>
      </c>
      <c r="F319">
        <f t="shared" si="52"/>
        <v>-166.44619999999986</v>
      </c>
      <c r="G319" t="s">
        <v>324</v>
      </c>
      <c r="H319">
        <v>187.5549</v>
      </c>
      <c r="I319">
        <f t="shared" si="49"/>
        <v>-354.00109999999984</v>
      </c>
      <c r="J319">
        <f t="shared" si="57"/>
        <v>-1.7278737707650376</v>
      </c>
      <c r="K319">
        <f t="shared" si="53"/>
        <v>19.099999999999909</v>
      </c>
      <c r="L319">
        <f t="shared" si="55"/>
        <v>1891.0950000000005</v>
      </c>
      <c r="M319">
        <f>AVERAGE(B319:B369)</f>
        <v>1814.0215686274516</v>
      </c>
      <c r="N319">
        <f t="shared" si="58"/>
        <v>0.87000000000011823</v>
      </c>
      <c r="O319">
        <v>-315.94554444444441</v>
      </c>
      <c r="P319">
        <f t="shared" si="56"/>
        <v>-172.78737707650376</v>
      </c>
    </row>
    <row r="320" spans="1:16">
      <c r="A320" s="1">
        <v>319</v>
      </c>
      <c r="B320">
        <v>1819</v>
      </c>
      <c r="C320">
        <f t="shared" si="54"/>
        <v>1969.5971</v>
      </c>
      <c r="D320">
        <f t="shared" si="50"/>
        <v>0.623046875</v>
      </c>
      <c r="E320">
        <f t="shared" si="51"/>
        <v>2216.5558325961642</v>
      </c>
      <c r="F320">
        <f t="shared" si="52"/>
        <v>-150.59709999999995</v>
      </c>
      <c r="G320" t="s">
        <v>325</v>
      </c>
      <c r="H320">
        <v>181.60400000000004</v>
      </c>
      <c r="I320">
        <f t="shared" si="49"/>
        <v>-332.2011</v>
      </c>
      <c r="J320">
        <f t="shared" si="57"/>
        <v>1.0500274876305611</v>
      </c>
      <c r="K320">
        <f t="shared" si="53"/>
        <v>15.099999999999909</v>
      </c>
      <c r="L320">
        <f t="shared" si="55"/>
        <v>1894.3500000000004</v>
      </c>
      <c r="M320">
        <f>AVERAGE(B320:B369)</f>
        <v>1814.3040000000008</v>
      </c>
      <c r="N320">
        <f t="shared" si="58"/>
        <v>3.2549999999998818</v>
      </c>
      <c r="O320">
        <v>-354.00109999999984</v>
      </c>
      <c r="P320">
        <f t="shared" si="56"/>
        <v>105.0027487630561</v>
      </c>
    </row>
    <row r="321" spans="1:16">
      <c r="A321" s="1">
        <v>320</v>
      </c>
      <c r="B321">
        <v>1834.1</v>
      </c>
      <c r="C321">
        <f t="shared" si="54"/>
        <v>1972.848</v>
      </c>
      <c r="D321">
        <f t="shared" si="50"/>
        <v>0.625</v>
      </c>
      <c r="E321">
        <f t="shared" si="51"/>
        <v>1719.8946124268089</v>
      </c>
      <c r="F321">
        <f t="shared" si="52"/>
        <v>-138.74800000000005</v>
      </c>
      <c r="G321" t="s">
        <v>326</v>
      </c>
      <c r="H321">
        <v>174.28643333333338</v>
      </c>
      <c r="I321">
        <f t="shared" si="49"/>
        <v>-313.03443333333342</v>
      </c>
      <c r="J321">
        <f t="shared" si="57"/>
        <v>0.82329207785834524</v>
      </c>
      <c r="K321">
        <f t="shared" si="53"/>
        <v>-44.799999999999955</v>
      </c>
      <c r="L321">
        <f t="shared" si="55"/>
        <v>1896.3150000000001</v>
      </c>
      <c r="M321">
        <f>AVERAGE(B321:B371)</f>
        <v>1814.9921568627456</v>
      </c>
      <c r="N321">
        <f t="shared" si="58"/>
        <v>1.9649999999996908</v>
      </c>
      <c r="O321">
        <v>-332.2011</v>
      </c>
      <c r="P321">
        <f t="shared" si="56"/>
        <v>82.329207785834527</v>
      </c>
    </row>
    <row r="322" spans="1:16">
      <c r="A322" s="1">
        <v>321</v>
      </c>
      <c r="B322">
        <v>1789.3</v>
      </c>
      <c r="C322">
        <f t="shared" si="54"/>
        <v>1976.0989</v>
      </c>
      <c r="D322">
        <f t="shared" si="50"/>
        <v>0.626953125</v>
      </c>
      <c r="E322">
        <f t="shared" si="51"/>
        <v>1681.7758446407925</v>
      </c>
      <c r="F322">
        <f t="shared" si="52"/>
        <v>-186.7989</v>
      </c>
      <c r="G322" t="s">
        <v>327</v>
      </c>
      <c r="H322">
        <v>168.29108888888885</v>
      </c>
      <c r="I322">
        <f t="shared" ref="I322:I385" si="59">B322-C322-H322</f>
        <v>-355.08998888888885</v>
      </c>
      <c r="J322">
        <f t="shared" si="57"/>
        <v>-2.5037724249706566</v>
      </c>
      <c r="K322">
        <f t="shared" si="53"/>
        <v>21.5</v>
      </c>
      <c r="L322">
        <f t="shared" si="55"/>
        <v>1898.8050000000003</v>
      </c>
      <c r="M322">
        <f>AVERAGE(B322:B371)</f>
        <v>1814.6100000000004</v>
      </c>
      <c r="N322">
        <f t="shared" si="58"/>
        <v>2.4900000000002365</v>
      </c>
      <c r="O322">
        <v>-313.03443333333342</v>
      </c>
      <c r="P322">
        <f t="shared" si="56"/>
        <v>-250.37724249706565</v>
      </c>
    </row>
    <row r="323" spans="1:16">
      <c r="A323" s="1">
        <v>322</v>
      </c>
      <c r="B323">
        <v>1810.8</v>
      </c>
      <c r="C323">
        <f t="shared" si="54"/>
        <v>1979.3498</v>
      </c>
      <c r="D323">
        <f t="shared" ref="D323:D386" si="60">A323/512</f>
        <v>0.62890625</v>
      </c>
      <c r="E323">
        <f t="shared" ref="E323:E386" si="61">IMABS(G323)</f>
        <v>1598.4984182522633</v>
      </c>
      <c r="F323">
        <f t="shared" ref="F323:F386" si="62">B323-C323</f>
        <v>-168.5498</v>
      </c>
      <c r="G323" t="s">
        <v>328</v>
      </c>
      <c r="H323">
        <v>163.41796666666673</v>
      </c>
      <c r="I323">
        <f t="shared" si="59"/>
        <v>-331.96776666666676</v>
      </c>
      <c r="J323">
        <f t="shared" si="57"/>
        <v>1.1873205213165452</v>
      </c>
      <c r="K323">
        <f t="shared" ref="K323:K386" si="63">B324-B323</f>
        <v>34.700000000000045</v>
      </c>
      <c r="L323">
        <f t="shared" si="55"/>
        <v>1901.8200000000002</v>
      </c>
      <c r="M323">
        <f>AVERAGE(B323:B373)</f>
        <v>1817.5843137254903</v>
      </c>
      <c r="N323">
        <f t="shared" si="58"/>
        <v>3.0149999999998727</v>
      </c>
      <c r="O323">
        <v>-355.08998888888885</v>
      </c>
      <c r="P323">
        <f t="shared" si="56"/>
        <v>118.73205213165451</v>
      </c>
    </row>
    <row r="324" spans="1:16">
      <c r="A324" s="1">
        <v>323</v>
      </c>
      <c r="B324">
        <v>1845.5</v>
      </c>
      <c r="C324">
        <f t="shared" ref="C324:C387" si="64">3.2509*A324+932.56</f>
        <v>1982.6007</v>
      </c>
      <c r="D324">
        <f t="shared" si="60"/>
        <v>0.630859375</v>
      </c>
      <c r="E324">
        <f t="shared" si="61"/>
        <v>1587.475807154359</v>
      </c>
      <c r="F324">
        <f t="shared" si="62"/>
        <v>-137.10069999999996</v>
      </c>
      <c r="G324" t="s">
        <v>329</v>
      </c>
      <c r="H324">
        <v>168.63373333333334</v>
      </c>
      <c r="I324">
        <f t="shared" si="59"/>
        <v>-305.7344333333333</v>
      </c>
      <c r="J324">
        <f t="shared" si="57"/>
        <v>1.8802492549444618</v>
      </c>
      <c r="K324">
        <f t="shared" si="63"/>
        <v>57.599999999999909</v>
      </c>
      <c r="L324">
        <f t="shared" ref="L324:L387" si="65">AVERAGE(B324:B343)</f>
        <v>1903.2450000000001</v>
      </c>
      <c r="M324">
        <f>AVERAGE(B324:B373)</f>
        <v>1817.72</v>
      </c>
      <c r="N324">
        <f t="shared" si="58"/>
        <v>1.4249999999999545</v>
      </c>
      <c r="O324">
        <v>-331.96776666666676</v>
      </c>
      <c r="P324">
        <f t="shared" ref="P324:P387" si="66">J324*100</f>
        <v>188.02492549444619</v>
      </c>
    </row>
    <row r="325" spans="1:16">
      <c r="A325" s="1">
        <v>324</v>
      </c>
      <c r="B325">
        <v>1903.1</v>
      </c>
      <c r="C325">
        <f t="shared" si="64"/>
        <v>1985.8516</v>
      </c>
      <c r="D325">
        <f t="shared" si="60"/>
        <v>0.6328125</v>
      </c>
      <c r="E325">
        <f t="shared" si="61"/>
        <v>1610.4428315510743</v>
      </c>
      <c r="F325">
        <f t="shared" si="62"/>
        <v>-82.751600000000053</v>
      </c>
      <c r="G325" t="s">
        <v>330</v>
      </c>
      <c r="H325">
        <v>175.06061111111109</v>
      </c>
      <c r="I325">
        <f t="shared" si="59"/>
        <v>-257.81221111111114</v>
      </c>
      <c r="J325">
        <f t="shared" ref="J325:J388" si="67">((B325-B324)/B325)*100</f>
        <v>3.0266407440491783</v>
      </c>
      <c r="K325">
        <f t="shared" si="63"/>
        <v>-12.299999999999955</v>
      </c>
      <c r="L325">
        <f t="shared" si="65"/>
        <v>1901.4900000000002</v>
      </c>
      <c r="M325">
        <f>AVERAGE(B325:B375)</f>
        <v>1822.037254901961</v>
      </c>
      <c r="N325">
        <f t="shared" ref="N325:N388" si="68">L325-L324</f>
        <v>-1.7549999999998818</v>
      </c>
      <c r="O325">
        <v>-305.7344333333333</v>
      </c>
      <c r="P325">
        <f t="shared" si="66"/>
        <v>302.66407440491781</v>
      </c>
    </row>
    <row r="326" spans="1:16">
      <c r="A326" s="1">
        <v>325</v>
      </c>
      <c r="B326">
        <v>1890.8</v>
      </c>
      <c r="C326">
        <f t="shared" si="64"/>
        <v>1989.1025</v>
      </c>
      <c r="D326">
        <f t="shared" si="60"/>
        <v>0.634765625</v>
      </c>
      <c r="E326">
        <f t="shared" si="61"/>
        <v>1966.4314226335803</v>
      </c>
      <c r="F326">
        <f t="shared" si="62"/>
        <v>-98.302500000000009</v>
      </c>
      <c r="G326" t="s">
        <v>331</v>
      </c>
      <c r="H326">
        <v>175.60114444444446</v>
      </c>
      <c r="I326">
        <f t="shared" si="59"/>
        <v>-273.90364444444447</v>
      </c>
      <c r="J326">
        <f t="shared" si="67"/>
        <v>-0.65051829913263981</v>
      </c>
      <c r="K326">
        <f t="shared" si="63"/>
        <v>79.100000000000136</v>
      </c>
      <c r="L326">
        <f t="shared" si="65"/>
        <v>1893.8800000000003</v>
      </c>
      <c r="M326">
        <f>AVERAGE(B326:B375)</f>
        <v>1820.4159999999997</v>
      </c>
      <c r="N326">
        <f t="shared" si="68"/>
        <v>-7.6099999999999</v>
      </c>
      <c r="O326">
        <v>-257.81221111111114</v>
      </c>
      <c r="P326">
        <f t="shared" si="66"/>
        <v>-65.051829913263987</v>
      </c>
    </row>
    <row r="327" spans="1:16">
      <c r="A327" s="1">
        <v>326</v>
      </c>
      <c r="B327">
        <v>1969.9</v>
      </c>
      <c r="C327">
        <f t="shared" si="64"/>
        <v>1992.3534</v>
      </c>
      <c r="D327">
        <f t="shared" si="60"/>
        <v>0.63671875</v>
      </c>
      <c r="E327">
        <f t="shared" si="61"/>
        <v>1849.5508684063698</v>
      </c>
      <c r="F327">
        <f t="shared" si="62"/>
        <v>-22.453399999999874</v>
      </c>
      <c r="G327" t="s">
        <v>332</v>
      </c>
      <c r="H327">
        <v>183.85024444444448</v>
      </c>
      <c r="I327">
        <f t="shared" si="59"/>
        <v>-206.30364444444436</v>
      </c>
      <c r="J327">
        <f t="shared" si="67"/>
        <v>4.0154322554444457</v>
      </c>
      <c r="K327">
        <f t="shared" si="63"/>
        <v>19.5</v>
      </c>
      <c r="L327">
        <f t="shared" si="65"/>
        <v>1884.92</v>
      </c>
      <c r="M327">
        <f>AVERAGE(B327:B377)</f>
        <v>1822.9196078431371</v>
      </c>
      <c r="N327">
        <f t="shared" si="68"/>
        <v>-8.9600000000002638</v>
      </c>
      <c r="O327">
        <v>-273.90364444444447</v>
      </c>
      <c r="P327">
        <f t="shared" si="66"/>
        <v>401.54322554444457</v>
      </c>
    </row>
    <row r="328" spans="1:16">
      <c r="A328" s="1">
        <v>327</v>
      </c>
      <c r="B328">
        <v>1989.4</v>
      </c>
      <c r="C328">
        <f t="shared" si="64"/>
        <v>1995.6043</v>
      </c>
      <c r="D328">
        <f t="shared" si="60"/>
        <v>0.638671875</v>
      </c>
      <c r="E328">
        <f t="shared" si="61"/>
        <v>1315.1136404660867</v>
      </c>
      <c r="F328">
        <f t="shared" si="62"/>
        <v>-6.2042999999998756</v>
      </c>
      <c r="G328" t="s">
        <v>333</v>
      </c>
      <c r="H328">
        <v>187.5549</v>
      </c>
      <c r="I328">
        <f t="shared" si="59"/>
        <v>-193.75919999999988</v>
      </c>
      <c r="J328">
        <f t="shared" si="67"/>
        <v>0.98019503367849592</v>
      </c>
      <c r="K328">
        <f t="shared" si="63"/>
        <v>-55.5</v>
      </c>
      <c r="L328">
        <f t="shared" si="65"/>
        <v>1873.175</v>
      </c>
      <c r="M328">
        <f>AVERAGE(B328:B377)</f>
        <v>1819.9799999999998</v>
      </c>
      <c r="N328">
        <f t="shared" si="68"/>
        <v>-11.745000000000118</v>
      </c>
      <c r="O328">
        <v>-206.30364444444436</v>
      </c>
      <c r="P328">
        <f t="shared" si="66"/>
        <v>98.019503367849595</v>
      </c>
    </row>
    <row r="329" spans="1:16">
      <c r="A329" s="1">
        <v>328</v>
      </c>
      <c r="B329">
        <v>1933.9</v>
      </c>
      <c r="C329">
        <f t="shared" si="64"/>
        <v>1998.8552</v>
      </c>
      <c r="D329">
        <f t="shared" si="60"/>
        <v>0.640625</v>
      </c>
      <c r="E329">
        <f t="shared" si="61"/>
        <v>2287.4793879814124</v>
      </c>
      <c r="F329">
        <f t="shared" si="62"/>
        <v>-64.955199999999877</v>
      </c>
      <c r="G329" t="s">
        <v>334</v>
      </c>
      <c r="H329">
        <v>181.60400000000004</v>
      </c>
      <c r="I329">
        <f t="shared" si="59"/>
        <v>-246.55919999999992</v>
      </c>
      <c r="J329">
        <f t="shared" si="67"/>
        <v>-2.8698484926831789</v>
      </c>
      <c r="K329">
        <f t="shared" si="63"/>
        <v>25.899999999999864</v>
      </c>
      <c r="L329">
        <f t="shared" si="65"/>
        <v>1862.7950000000005</v>
      </c>
      <c r="M329">
        <f>AVERAGE(B329:B379)</f>
        <v>1818.9745098039211</v>
      </c>
      <c r="N329">
        <f t="shared" si="68"/>
        <v>-10.379999999999427</v>
      </c>
      <c r="O329">
        <v>-193.75919999999988</v>
      </c>
      <c r="P329">
        <f t="shared" si="66"/>
        <v>-286.98484926831787</v>
      </c>
    </row>
    <row r="330" spans="1:16">
      <c r="A330" s="1">
        <v>329</v>
      </c>
      <c r="B330">
        <v>1959.8</v>
      </c>
      <c r="C330">
        <f t="shared" si="64"/>
        <v>2002.1061</v>
      </c>
      <c r="D330">
        <f t="shared" si="60"/>
        <v>0.642578125</v>
      </c>
      <c r="E330">
        <f t="shared" si="61"/>
        <v>1507.8298810018384</v>
      </c>
      <c r="F330">
        <f t="shared" si="62"/>
        <v>-42.306100000000015</v>
      </c>
      <c r="G330" t="s">
        <v>335</v>
      </c>
      <c r="H330">
        <v>174.28643333333338</v>
      </c>
      <c r="I330">
        <f t="shared" si="59"/>
        <v>-216.59253333333339</v>
      </c>
      <c r="J330">
        <f t="shared" si="67"/>
        <v>1.3215634248392625</v>
      </c>
      <c r="K330">
        <f t="shared" si="63"/>
        <v>-30.599999999999909</v>
      </c>
      <c r="L330">
        <f t="shared" si="65"/>
        <v>1855.6599999999999</v>
      </c>
      <c r="M330">
        <f>AVERAGE(B330:B379)</f>
        <v>1816.6759999999997</v>
      </c>
      <c r="N330">
        <f t="shared" si="68"/>
        <v>-7.135000000000673</v>
      </c>
      <c r="O330">
        <v>-246.55919999999992</v>
      </c>
      <c r="P330">
        <f t="shared" si="66"/>
        <v>132.15634248392624</v>
      </c>
    </row>
    <row r="331" spans="1:16">
      <c r="A331" s="1">
        <v>330</v>
      </c>
      <c r="B331">
        <v>1929.2</v>
      </c>
      <c r="C331">
        <f t="shared" si="64"/>
        <v>2005.357</v>
      </c>
      <c r="D331">
        <f t="shared" si="60"/>
        <v>0.64453125</v>
      </c>
      <c r="E331">
        <f t="shared" si="61"/>
        <v>1918.248937561295</v>
      </c>
      <c r="F331">
        <f t="shared" si="62"/>
        <v>-76.156999999999925</v>
      </c>
      <c r="G331" t="s">
        <v>336</v>
      </c>
      <c r="H331">
        <v>168.29108888888885</v>
      </c>
      <c r="I331">
        <f t="shared" si="59"/>
        <v>-244.44808888888878</v>
      </c>
      <c r="J331">
        <f t="shared" si="67"/>
        <v>-1.5861496993572417</v>
      </c>
      <c r="K331">
        <f t="shared" si="63"/>
        <v>23</v>
      </c>
      <c r="L331">
        <f t="shared" si="65"/>
        <v>1848.4450000000002</v>
      </c>
      <c r="M331">
        <f>AVERAGE(B331:B381)</f>
        <v>1815.2803921568623</v>
      </c>
      <c r="N331">
        <f t="shared" si="68"/>
        <v>-7.2149999999996908</v>
      </c>
      <c r="O331">
        <v>-216.59253333333339</v>
      </c>
      <c r="P331">
        <f t="shared" si="66"/>
        <v>-158.61496993572416</v>
      </c>
    </row>
    <row r="332" spans="1:16">
      <c r="A332" s="1">
        <v>331</v>
      </c>
      <c r="B332">
        <v>1952.2</v>
      </c>
      <c r="C332">
        <f t="shared" si="64"/>
        <v>2008.6079</v>
      </c>
      <c r="D332">
        <f t="shared" si="60"/>
        <v>0.646484375</v>
      </c>
      <c r="E332">
        <f t="shared" si="61"/>
        <v>1893.6087174632103</v>
      </c>
      <c r="F332">
        <f t="shared" si="62"/>
        <v>-56.407899999999927</v>
      </c>
      <c r="G332" t="s">
        <v>337</v>
      </c>
      <c r="H332">
        <v>163.41796666666673</v>
      </c>
      <c r="I332">
        <f t="shared" si="59"/>
        <v>-219.82586666666666</v>
      </c>
      <c r="J332">
        <f t="shared" si="67"/>
        <v>1.1781579756172522</v>
      </c>
      <c r="K332">
        <f t="shared" si="63"/>
        <v>29.399999999999864</v>
      </c>
      <c r="L332">
        <f t="shared" si="65"/>
        <v>1840.1299999999999</v>
      </c>
      <c r="M332">
        <f>AVERAGE(B332:B381)</f>
        <v>1813.0019999999995</v>
      </c>
      <c r="N332">
        <f t="shared" si="68"/>
        <v>-8.3150000000002819</v>
      </c>
      <c r="O332">
        <v>-244.44808888888878</v>
      </c>
      <c r="P332">
        <f t="shared" si="66"/>
        <v>117.81579756172522</v>
      </c>
    </row>
    <row r="333" spans="1:16">
      <c r="A333" s="1">
        <v>332</v>
      </c>
      <c r="B333">
        <v>1981.6</v>
      </c>
      <c r="C333">
        <f t="shared" si="64"/>
        <v>2011.8588</v>
      </c>
      <c r="D333">
        <f t="shared" si="60"/>
        <v>0.6484375</v>
      </c>
      <c r="E333">
        <f t="shared" si="61"/>
        <v>1989.4980044126835</v>
      </c>
      <c r="F333">
        <f t="shared" si="62"/>
        <v>-30.258800000000065</v>
      </c>
      <c r="G333" t="s">
        <v>338</v>
      </c>
      <c r="H333">
        <v>168.63373333333334</v>
      </c>
      <c r="I333">
        <f t="shared" si="59"/>
        <v>-198.8925333333334</v>
      </c>
      <c r="J333">
        <f t="shared" si="67"/>
        <v>1.4836495761001143</v>
      </c>
      <c r="K333">
        <f t="shared" si="63"/>
        <v>-40.199999999999818</v>
      </c>
      <c r="L333">
        <f t="shared" si="65"/>
        <v>1830.0100000000002</v>
      </c>
      <c r="M333">
        <f>AVERAGE(B333:B383)</f>
        <v>1815.1392156862737</v>
      </c>
      <c r="N333">
        <f t="shared" si="68"/>
        <v>-10.119999999999663</v>
      </c>
      <c r="O333">
        <v>-219.82586666666666</v>
      </c>
      <c r="P333">
        <f t="shared" si="66"/>
        <v>148.36495761001143</v>
      </c>
    </row>
    <row r="334" spans="1:16">
      <c r="A334" s="1">
        <v>333</v>
      </c>
      <c r="B334">
        <v>1941.4</v>
      </c>
      <c r="C334">
        <f t="shared" si="64"/>
        <v>2015.1097</v>
      </c>
      <c r="D334">
        <f t="shared" si="60"/>
        <v>0.650390625</v>
      </c>
      <c r="E334">
        <f t="shared" si="61"/>
        <v>1359.7008301975254</v>
      </c>
      <c r="F334">
        <f t="shared" si="62"/>
        <v>-73.709699999999884</v>
      </c>
      <c r="G334" t="s">
        <v>339</v>
      </c>
      <c r="H334">
        <v>175.06061111111109</v>
      </c>
      <c r="I334">
        <f t="shared" si="59"/>
        <v>-248.77031111111097</v>
      </c>
      <c r="J334">
        <f t="shared" si="67"/>
        <v>-2.070670650046349</v>
      </c>
      <c r="K334">
        <f t="shared" si="63"/>
        <v>-22.800000000000182</v>
      </c>
      <c r="L334">
        <f t="shared" si="65"/>
        <v>1817.06</v>
      </c>
      <c r="M334">
        <f>AVERAGE(B334:B383)</f>
        <v>1811.8099999999995</v>
      </c>
      <c r="N334">
        <f t="shared" si="68"/>
        <v>-12.950000000000273</v>
      </c>
      <c r="O334">
        <v>-198.8925333333334</v>
      </c>
      <c r="P334">
        <f t="shared" si="66"/>
        <v>-207.06706500463491</v>
      </c>
    </row>
    <row r="335" spans="1:16">
      <c r="A335" s="1">
        <v>334</v>
      </c>
      <c r="B335">
        <v>1918.6</v>
      </c>
      <c r="C335">
        <f t="shared" si="64"/>
        <v>2018.3606</v>
      </c>
      <c r="D335">
        <f t="shared" si="60"/>
        <v>0.65234375</v>
      </c>
      <c r="E335">
        <f t="shared" si="61"/>
        <v>1094.9074596180167</v>
      </c>
      <c r="F335">
        <f t="shared" si="62"/>
        <v>-99.760600000000068</v>
      </c>
      <c r="G335" t="s">
        <v>340</v>
      </c>
      <c r="H335">
        <v>175.60114444444446</v>
      </c>
      <c r="I335">
        <f t="shared" si="59"/>
        <v>-275.36174444444453</v>
      </c>
      <c r="J335">
        <f t="shared" si="67"/>
        <v>-1.1883665172521727</v>
      </c>
      <c r="K335">
        <f t="shared" si="63"/>
        <v>-28.399999999999864</v>
      </c>
      <c r="L335">
        <f t="shared" si="65"/>
        <v>1806.42</v>
      </c>
      <c r="M335">
        <f>AVERAGE(B335:B385)</f>
        <v>1816.7627450980387</v>
      </c>
      <c r="N335">
        <f t="shared" si="68"/>
        <v>-10.639999999999873</v>
      </c>
      <c r="O335">
        <v>-248.77031111111097</v>
      </c>
      <c r="P335">
        <f t="shared" si="66"/>
        <v>-118.83665172521727</v>
      </c>
    </row>
    <row r="336" spans="1:16">
      <c r="A336" s="1">
        <v>335</v>
      </c>
      <c r="B336">
        <v>1890.2</v>
      </c>
      <c r="C336">
        <f t="shared" si="64"/>
        <v>2021.6115</v>
      </c>
      <c r="D336">
        <f t="shared" si="60"/>
        <v>0.654296875</v>
      </c>
      <c r="E336">
        <f t="shared" si="61"/>
        <v>1234.4814554607608</v>
      </c>
      <c r="F336">
        <f t="shared" si="62"/>
        <v>-131.41149999999993</v>
      </c>
      <c r="G336" t="s">
        <v>341</v>
      </c>
      <c r="H336">
        <v>183.85024444444448</v>
      </c>
      <c r="I336">
        <f t="shared" si="59"/>
        <v>-315.26174444444439</v>
      </c>
      <c r="J336">
        <f t="shared" si="67"/>
        <v>-1.5024865093640811</v>
      </c>
      <c r="K336">
        <f t="shared" si="63"/>
        <v>-75.400000000000091</v>
      </c>
      <c r="L336">
        <f t="shared" si="65"/>
        <v>1794.6649999999997</v>
      </c>
      <c r="M336">
        <f>AVERAGE(B336:B385)</f>
        <v>1814.7259999999994</v>
      </c>
      <c r="N336">
        <f t="shared" si="68"/>
        <v>-11.755000000000337</v>
      </c>
      <c r="O336">
        <v>-275.36174444444453</v>
      </c>
      <c r="P336">
        <f t="shared" si="66"/>
        <v>-150.24865093640813</v>
      </c>
    </row>
    <row r="337" spans="1:16">
      <c r="A337" s="1">
        <v>336</v>
      </c>
      <c r="B337">
        <v>1814.8</v>
      </c>
      <c r="C337">
        <f t="shared" si="64"/>
        <v>2024.8624</v>
      </c>
      <c r="D337">
        <f t="shared" si="60"/>
        <v>0.65625</v>
      </c>
      <c r="E337">
        <f t="shared" si="61"/>
        <v>742.63090475438969</v>
      </c>
      <c r="F337">
        <f t="shared" si="62"/>
        <v>-210.06240000000003</v>
      </c>
      <c r="G337" t="s">
        <v>342</v>
      </c>
      <c r="H337">
        <v>187.5549</v>
      </c>
      <c r="I337">
        <f t="shared" si="59"/>
        <v>-397.6173</v>
      </c>
      <c r="J337">
        <f t="shared" si="67"/>
        <v>-4.1547277936962796</v>
      </c>
      <c r="K337">
        <f t="shared" si="63"/>
        <v>33.600000000000136</v>
      </c>
      <c r="L337">
        <f t="shared" si="65"/>
        <v>1782.9349999999995</v>
      </c>
      <c r="M337">
        <f>AVERAGE(B337:B387)</f>
        <v>1822.0568627450973</v>
      </c>
      <c r="N337">
        <f t="shared" si="68"/>
        <v>-11.730000000000246</v>
      </c>
      <c r="O337">
        <v>-315.26174444444439</v>
      </c>
      <c r="P337">
        <f t="shared" si="66"/>
        <v>-415.47277936962797</v>
      </c>
    </row>
    <row r="338" spans="1:16">
      <c r="A338" s="1">
        <v>337</v>
      </c>
      <c r="B338">
        <v>1848.4</v>
      </c>
      <c r="C338">
        <f t="shared" si="64"/>
        <v>2028.1133</v>
      </c>
      <c r="D338">
        <f t="shared" si="60"/>
        <v>0.658203125</v>
      </c>
      <c r="E338">
        <f t="shared" si="61"/>
        <v>1241.5340930513273</v>
      </c>
      <c r="F338">
        <f t="shared" si="62"/>
        <v>-179.71329999999989</v>
      </c>
      <c r="G338" t="s">
        <v>343</v>
      </c>
      <c r="H338">
        <v>181.60400000000004</v>
      </c>
      <c r="I338">
        <f t="shared" si="59"/>
        <v>-361.31729999999993</v>
      </c>
      <c r="J338">
        <f t="shared" si="67"/>
        <v>1.8177883574983844</v>
      </c>
      <c r="K338">
        <f t="shared" si="63"/>
        <v>16.599999999999909</v>
      </c>
      <c r="L338">
        <f t="shared" si="65"/>
        <v>1776.4399999999998</v>
      </c>
      <c r="M338">
        <f>AVERAGE(B338:B387)</f>
        <v>1822.2019999999993</v>
      </c>
      <c r="N338">
        <f t="shared" si="68"/>
        <v>-6.4949999999996635</v>
      </c>
      <c r="O338">
        <v>-397.6173</v>
      </c>
      <c r="P338">
        <f t="shared" si="66"/>
        <v>181.77883574983844</v>
      </c>
    </row>
    <row r="339" spans="1:16">
      <c r="A339" s="1">
        <v>338</v>
      </c>
      <c r="B339">
        <v>1865</v>
      </c>
      <c r="C339">
        <f t="shared" si="64"/>
        <v>2031.3642</v>
      </c>
      <c r="D339">
        <f t="shared" si="60"/>
        <v>0.66015625</v>
      </c>
      <c r="E339">
        <f t="shared" si="61"/>
        <v>1146.6645054646588</v>
      </c>
      <c r="F339">
        <f t="shared" si="62"/>
        <v>-166.36419999999998</v>
      </c>
      <c r="G339" t="s">
        <v>344</v>
      </c>
      <c r="H339">
        <v>174.28643333333338</v>
      </c>
      <c r="I339">
        <f t="shared" si="59"/>
        <v>-340.65063333333336</v>
      </c>
      <c r="J339">
        <f t="shared" si="67"/>
        <v>0.89008042895441875</v>
      </c>
      <c r="K339">
        <f t="shared" si="63"/>
        <v>-6.7000000000000455</v>
      </c>
      <c r="L339">
        <f t="shared" si="65"/>
        <v>1770.1599999999999</v>
      </c>
      <c r="M339">
        <f>AVERAGE(B339:B389)</f>
        <v>1829.1999999999994</v>
      </c>
      <c r="N339">
        <f t="shared" si="68"/>
        <v>-6.2799999999999727</v>
      </c>
      <c r="O339">
        <v>-361.31729999999993</v>
      </c>
      <c r="P339">
        <f t="shared" si="66"/>
        <v>89.008042895441875</v>
      </c>
    </row>
    <row r="340" spans="1:16">
      <c r="A340" s="1">
        <v>339</v>
      </c>
      <c r="B340">
        <v>1858.3</v>
      </c>
      <c r="C340">
        <f t="shared" si="64"/>
        <v>2034.6151</v>
      </c>
      <c r="D340">
        <f t="shared" si="60"/>
        <v>0.662109375</v>
      </c>
      <c r="E340">
        <f t="shared" si="61"/>
        <v>1762.7271010631382</v>
      </c>
      <c r="F340">
        <f t="shared" si="62"/>
        <v>-176.31510000000003</v>
      </c>
      <c r="G340" t="s">
        <v>345</v>
      </c>
      <c r="H340">
        <v>168.29108888888885</v>
      </c>
      <c r="I340">
        <f t="shared" si="59"/>
        <v>-344.60618888888888</v>
      </c>
      <c r="J340">
        <f t="shared" si="67"/>
        <v>-0.36054458375935239</v>
      </c>
      <c r="K340">
        <f t="shared" si="63"/>
        <v>25.600000000000136</v>
      </c>
      <c r="L340">
        <f t="shared" si="65"/>
        <v>1760.05</v>
      </c>
      <c r="M340">
        <f>AVERAGE(B340:B389)</f>
        <v>1828.4839999999995</v>
      </c>
      <c r="N340">
        <f t="shared" si="68"/>
        <v>-10.1099999999999</v>
      </c>
      <c r="O340">
        <v>-340.65063333333336</v>
      </c>
      <c r="P340">
        <f t="shared" si="66"/>
        <v>-36.054458375935241</v>
      </c>
    </row>
    <row r="341" spans="1:16">
      <c r="A341" s="1">
        <v>340</v>
      </c>
      <c r="B341">
        <v>1883.9</v>
      </c>
      <c r="C341">
        <f t="shared" si="64"/>
        <v>2037.866</v>
      </c>
      <c r="D341">
        <f t="shared" si="60"/>
        <v>0.6640625</v>
      </c>
      <c r="E341">
        <f t="shared" si="61"/>
        <v>772.29212831814982</v>
      </c>
      <c r="F341">
        <f t="shared" si="62"/>
        <v>-153.96599999999989</v>
      </c>
      <c r="G341" t="s">
        <v>346</v>
      </c>
      <c r="H341">
        <v>163.41796666666673</v>
      </c>
      <c r="I341">
        <f t="shared" si="59"/>
        <v>-317.38396666666665</v>
      </c>
      <c r="J341">
        <f t="shared" si="67"/>
        <v>1.3588831678963924</v>
      </c>
      <c r="K341">
        <f t="shared" si="63"/>
        <v>-34.300000000000182</v>
      </c>
      <c r="L341">
        <f t="shared" si="65"/>
        <v>1750.6449999999998</v>
      </c>
      <c r="M341">
        <f>AVERAGE(B341:B391)</f>
        <v>1836.2588235294108</v>
      </c>
      <c r="N341">
        <f t="shared" si="68"/>
        <v>-9.4050000000002001</v>
      </c>
      <c r="O341">
        <v>-344.60618888888888</v>
      </c>
      <c r="P341">
        <f t="shared" si="66"/>
        <v>135.88831678963925</v>
      </c>
    </row>
    <row r="342" spans="1:16">
      <c r="A342" s="1">
        <v>341</v>
      </c>
      <c r="B342">
        <v>1849.6</v>
      </c>
      <c r="C342">
        <f t="shared" si="64"/>
        <v>2041.1169</v>
      </c>
      <c r="D342">
        <f t="shared" si="60"/>
        <v>0.666015625</v>
      </c>
      <c r="E342">
        <f t="shared" si="61"/>
        <v>992.13327757259435</v>
      </c>
      <c r="F342">
        <f t="shared" si="62"/>
        <v>-191.51690000000008</v>
      </c>
      <c r="G342" t="s">
        <v>347</v>
      </c>
      <c r="H342">
        <v>168.63373333333334</v>
      </c>
      <c r="I342">
        <f t="shared" si="59"/>
        <v>-360.15063333333342</v>
      </c>
      <c r="J342">
        <f t="shared" si="67"/>
        <v>-1.8544550173010481</v>
      </c>
      <c r="K342">
        <f t="shared" si="63"/>
        <v>-10.299999999999955</v>
      </c>
      <c r="L342">
        <f t="shared" si="65"/>
        <v>1739.4049999999995</v>
      </c>
      <c r="M342">
        <f>AVERAGE(B342:B391)</f>
        <v>1835.3059999999991</v>
      </c>
      <c r="N342">
        <f t="shared" si="68"/>
        <v>-11.240000000000236</v>
      </c>
      <c r="O342">
        <v>-317.38396666666665</v>
      </c>
      <c r="P342">
        <f t="shared" si="66"/>
        <v>-185.44550173010481</v>
      </c>
    </row>
    <row r="343" spans="1:16">
      <c r="A343" s="1">
        <v>342</v>
      </c>
      <c r="B343">
        <v>1839.3</v>
      </c>
      <c r="C343">
        <f t="shared" si="64"/>
        <v>2044.3678</v>
      </c>
      <c r="D343">
        <f t="shared" si="60"/>
        <v>0.66796875</v>
      </c>
      <c r="E343">
        <f t="shared" si="61"/>
        <v>1699.3241991448931</v>
      </c>
      <c r="F343">
        <f t="shared" si="62"/>
        <v>-205.06780000000003</v>
      </c>
      <c r="G343" t="s">
        <v>348</v>
      </c>
      <c r="H343">
        <v>175.06061111111109</v>
      </c>
      <c r="I343">
        <f t="shared" si="59"/>
        <v>-380.12841111111112</v>
      </c>
      <c r="J343">
        <f t="shared" si="67"/>
        <v>-0.55999565051921685</v>
      </c>
      <c r="K343">
        <f t="shared" si="63"/>
        <v>-28.899999999999864</v>
      </c>
      <c r="L343">
        <f t="shared" si="65"/>
        <v>1731.4549999999999</v>
      </c>
      <c r="M343">
        <f>AVERAGE(B343:B393)</f>
        <v>1840.7666666666662</v>
      </c>
      <c r="N343">
        <f t="shared" si="68"/>
        <v>-7.9499999999995907</v>
      </c>
      <c r="O343">
        <v>-360.15063333333342</v>
      </c>
      <c r="P343">
        <f t="shared" si="66"/>
        <v>-55.999565051921685</v>
      </c>
    </row>
    <row r="344" spans="1:16">
      <c r="A344" s="1">
        <v>343</v>
      </c>
      <c r="B344">
        <v>1810.4</v>
      </c>
      <c r="C344">
        <f t="shared" si="64"/>
        <v>2047.6187</v>
      </c>
      <c r="D344">
        <f t="shared" si="60"/>
        <v>0.669921875</v>
      </c>
      <c r="E344">
        <f t="shared" si="61"/>
        <v>1577.6232326940988</v>
      </c>
      <c r="F344">
        <f t="shared" si="62"/>
        <v>-237.2186999999999</v>
      </c>
      <c r="G344" t="s">
        <v>349</v>
      </c>
      <c r="H344">
        <v>175.60114444444446</v>
      </c>
      <c r="I344">
        <f t="shared" si="59"/>
        <v>-412.81984444444436</v>
      </c>
      <c r="J344">
        <f t="shared" si="67"/>
        <v>-1.596332302253638</v>
      </c>
      <c r="K344">
        <f t="shared" si="63"/>
        <v>-59.5</v>
      </c>
      <c r="L344">
        <f t="shared" si="65"/>
        <v>1728.6649999999997</v>
      </c>
      <c r="M344">
        <f>AVERAGE(B344:B393)</f>
        <v>1840.7959999999998</v>
      </c>
      <c r="N344">
        <f t="shared" si="68"/>
        <v>-2.790000000000191</v>
      </c>
      <c r="O344">
        <v>-380.12841111111112</v>
      </c>
      <c r="P344">
        <f t="shared" si="66"/>
        <v>-159.6332302253638</v>
      </c>
    </row>
    <row r="345" spans="1:16">
      <c r="A345" s="1">
        <v>344</v>
      </c>
      <c r="B345">
        <v>1750.9</v>
      </c>
      <c r="C345">
        <f t="shared" si="64"/>
        <v>2050.8696</v>
      </c>
      <c r="D345">
        <f t="shared" si="60"/>
        <v>0.671875</v>
      </c>
      <c r="E345">
        <f t="shared" si="61"/>
        <v>1534.02296966739</v>
      </c>
      <c r="F345">
        <f t="shared" si="62"/>
        <v>-299.9695999999999</v>
      </c>
      <c r="G345" t="s">
        <v>350</v>
      </c>
      <c r="H345">
        <v>183.85024444444448</v>
      </c>
      <c r="I345">
        <f t="shared" si="59"/>
        <v>-483.81984444444436</v>
      </c>
      <c r="J345">
        <f t="shared" si="67"/>
        <v>-3.3982523273744931</v>
      </c>
      <c r="K345">
        <f t="shared" si="63"/>
        <v>-39.300000000000182</v>
      </c>
      <c r="L345">
        <f t="shared" si="65"/>
        <v>1726.5949999999998</v>
      </c>
      <c r="M345">
        <f>AVERAGE(B345:B395)</f>
        <v>1847.3588235294119</v>
      </c>
      <c r="N345">
        <f t="shared" si="68"/>
        <v>-2.0699999999999363</v>
      </c>
      <c r="O345">
        <v>-412.81984444444436</v>
      </c>
      <c r="P345">
        <f t="shared" si="66"/>
        <v>-339.82523273744931</v>
      </c>
    </row>
    <row r="346" spans="1:16">
      <c r="A346" s="1">
        <v>345</v>
      </c>
      <c r="B346">
        <v>1711.6</v>
      </c>
      <c r="C346">
        <f t="shared" si="64"/>
        <v>2054.1205</v>
      </c>
      <c r="D346">
        <f t="shared" si="60"/>
        <v>0.673828125</v>
      </c>
      <c r="E346">
        <f t="shared" si="61"/>
        <v>1910.8951755273531</v>
      </c>
      <c r="F346">
        <f t="shared" si="62"/>
        <v>-342.52050000000008</v>
      </c>
      <c r="G346" t="s">
        <v>351</v>
      </c>
      <c r="H346">
        <v>187.5549</v>
      </c>
      <c r="I346">
        <f t="shared" si="59"/>
        <v>-530.07540000000006</v>
      </c>
      <c r="J346">
        <f t="shared" si="67"/>
        <v>-2.2960972189764073</v>
      </c>
      <c r="K346">
        <f t="shared" si="63"/>
        <v>23.400000000000091</v>
      </c>
      <c r="L346">
        <f t="shared" si="65"/>
        <v>1727.4900000000002</v>
      </c>
      <c r="M346">
        <f>AVERAGE(B346:B395)</f>
        <v>1849.2880000000002</v>
      </c>
      <c r="N346">
        <f t="shared" si="68"/>
        <v>0.89500000000043656</v>
      </c>
      <c r="O346">
        <v>-483.81984444444436</v>
      </c>
      <c r="P346">
        <f t="shared" si="66"/>
        <v>-229.60972189764072</v>
      </c>
    </row>
    <row r="347" spans="1:16">
      <c r="A347" s="1">
        <v>346</v>
      </c>
      <c r="B347">
        <v>1735</v>
      </c>
      <c r="C347">
        <f t="shared" si="64"/>
        <v>2057.3714</v>
      </c>
      <c r="D347">
        <f t="shared" si="60"/>
        <v>0.67578125</v>
      </c>
      <c r="E347">
        <f t="shared" si="61"/>
        <v>1269.1731438308584</v>
      </c>
      <c r="F347">
        <f t="shared" si="62"/>
        <v>-322.37139999999999</v>
      </c>
      <c r="G347" t="s">
        <v>352</v>
      </c>
      <c r="H347">
        <v>181.60400000000004</v>
      </c>
      <c r="I347">
        <f t="shared" si="59"/>
        <v>-503.97540000000004</v>
      </c>
      <c r="J347">
        <f t="shared" si="67"/>
        <v>1.3487031700288237</v>
      </c>
      <c r="K347">
        <f t="shared" si="63"/>
        <v>46.799999999999955</v>
      </c>
      <c r="L347">
        <f t="shared" si="65"/>
        <v>1733.1449999999998</v>
      </c>
      <c r="M347">
        <f>AVERAGE(B347:B397)</f>
        <v>1856.7137254901959</v>
      </c>
      <c r="N347">
        <f t="shared" si="68"/>
        <v>5.654999999999518</v>
      </c>
      <c r="O347">
        <v>-530.07540000000006</v>
      </c>
      <c r="P347">
        <f t="shared" si="66"/>
        <v>134.87031700288236</v>
      </c>
    </row>
    <row r="348" spans="1:16">
      <c r="A348" s="1">
        <v>347</v>
      </c>
      <c r="B348">
        <v>1781.8</v>
      </c>
      <c r="C348">
        <f t="shared" si="64"/>
        <v>2060.6223</v>
      </c>
      <c r="D348">
        <f t="shared" si="60"/>
        <v>0.677734375</v>
      </c>
      <c r="E348">
        <f t="shared" si="61"/>
        <v>1763.9432998766404</v>
      </c>
      <c r="F348">
        <f t="shared" si="62"/>
        <v>-278.82230000000004</v>
      </c>
      <c r="G348" t="s">
        <v>353</v>
      </c>
      <c r="H348">
        <v>174.28643333333338</v>
      </c>
      <c r="I348">
        <f t="shared" si="59"/>
        <v>-453.10873333333342</v>
      </c>
      <c r="J348">
        <f t="shared" si="67"/>
        <v>2.6265574138511592</v>
      </c>
      <c r="K348">
        <f t="shared" si="63"/>
        <v>9.4000000000000909</v>
      </c>
      <c r="L348">
        <f t="shared" si="65"/>
        <v>1737.6899999999998</v>
      </c>
      <c r="M348">
        <f>AVERAGE(B348:B397)</f>
        <v>1859.1479999999999</v>
      </c>
      <c r="N348">
        <f t="shared" si="68"/>
        <v>4.5450000000000728</v>
      </c>
      <c r="O348">
        <v>-503.97540000000004</v>
      </c>
      <c r="P348">
        <f t="shared" si="66"/>
        <v>262.6557413851159</v>
      </c>
    </row>
    <row r="349" spans="1:16">
      <c r="A349" s="1">
        <v>348</v>
      </c>
      <c r="B349">
        <v>1791.2</v>
      </c>
      <c r="C349">
        <f t="shared" si="64"/>
        <v>2063.8732</v>
      </c>
      <c r="D349">
        <f t="shared" si="60"/>
        <v>0.6796875</v>
      </c>
      <c r="E349">
        <f t="shared" si="61"/>
        <v>1268.4535651085914</v>
      </c>
      <c r="F349">
        <f t="shared" si="62"/>
        <v>-272.67319999999995</v>
      </c>
      <c r="G349" t="s">
        <v>354</v>
      </c>
      <c r="H349">
        <v>168.29108888888885</v>
      </c>
      <c r="I349">
        <f t="shared" si="59"/>
        <v>-440.9642888888888</v>
      </c>
      <c r="J349">
        <f t="shared" si="67"/>
        <v>0.52478785171952269</v>
      </c>
      <c r="K349">
        <f t="shared" si="63"/>
        <v>24.299999999999955</v>
      </c>
      <c r="L349">
        <f t="shared" si="65"/>
        <v>1739.3799999999999</v>
      </c>
      <c r="M349">
        <f>AVERAGE(B349:B399)</f>
        <v>1864.2294117647059</v>
      </c>
      <c r="N349">
        <f t="shared" si="68"/>
        <v>1.6900000000000546</v>
      </c>
      <c r="O349">
        <v>-453.10873333333342</v>
      </c>
      <c r="P349">
        <f t="shared" si="66"/>
        <v>52.478785171952268</v>
      </c>
    </row>
    <row r="350" spans="1:16">
      <c r="A350" s="1">
        <v>349</v>
      </c>
      <c r="B350">
        <v>1815.5</v>
      </c>
      <c r="C350">
        <f t="shared" si="64"/>
        <v>2067.1241</v>
      </c>
      <c r="D350">
        <f t="shared" si="60"/>
        <v>0.681640625</v>
      </c>
      <c r="E350">
        <f t="shared" si="61"/>
        <v>1683.4720100962973</v>
      </c>
      <c r="F350">
        <f t="shared" si="62"/>
        <v>-251.6241</v>
      </c>
      <c r="G350" t="s">
        <v>355</v>
      </c>
      <c r="H350">
        <v>163.41796666666673</v>
      </c>
      <c r="I350">
        <f t="shared" si="59"/>
        <v>-415.04206666666676</v>
      </c>
      <c r="J350">
        <f t="shared" si="67"/>
        <v>1.3384742495180366</v>
      </c>
      <c r="K350">
        <f t="shared" si="63"/>
        <v>-52.599999999999909</v>
      </c>
      <c r="L350">
        <f t="shared" si="65"/>
        <v>1740.8100000000002</v>
      </c>
      <c r="M350">
        <f>AVERAGE(B350:B399)</f>
        <v>1865.69</v>
      </c>
      <c r="N350">
        <f t="shared" si="68"/>
        <v>1.430000000000291</v>
      </c>
      <c r="O350">
        <v>-440.9642888888888</v>
      </c>
      <c r="P350">
        <f t="shared" si="66"/>
        <v>133.84742495180367</v>
      </c>
    </row>
    <row r="351" spans="1:16">
      <c r="A351" s="1">
        <v>350</v>
      </c>
      <c r="B351">
        <v>1762.9</v>
      </c>
      <c r="C351">
        <f t="shared" si="64"/>
        <v>2070.375</v>
      </c>
      <c r="D351">
        <f t="shared" si="60"/>
        <v>0.68359375</v>
      </c>
      <c r="E351">
        <f t="shared" si="61"/>
        <v>1068.8511011261066</v>
      </c>
      <c r="F351">
        <f t="shared" si="62"/>
        <v>-307.47499999999991</v>
      </c>
      <c r="G351" t="s">
        <v>356</v>
      </c>
      <c r="H351">
        <v>168.63373333333334</v>
      </c>
      <c r="I351">
        <f t="shared" si="59"/>
        <v>-476.10873333333325</v>
      </c>
      <c r="J351">
        <f t="shared" si="67"/>
        <v>-2.9837200068069603</v>
      </c>
      <c r="K351">
        <f t="shared" si="63"/>
        <v>-13.100000000000136</v>
      </c>
      <c r="L351">
        <f t="shared" si="65"/>
        <v>1742.1449999999998</v>
      </c>
      <c r="M351">
        <f>AVERAGE(B351:B401)</f>
        <v>1871.3372549019607</v>
      </c>
      <c r="N351">
        <f t="shared" si="68"/>
        <v>1.3349999999995816</v>
      </c>
      <c r="O351">
        <v>-415.04206666666676</v>
      </c>
      <c r="P351">
        <f t="shared" si="66"/>
        <v>-298.37200068069603</v>
      </c>
    </row>
    <row r="352" spans="1:16">
      <c r="A352" s="1">
        <v>351</v>
      </c>
      <c r="B352">
        <v>1749.8</v>
      </c>
      <c r="C352">
        <f t="shared" si="64"/>
        <v>2073.6259</v>
      </c>
      <c r="D352">
        <f t="shared" si="60"/>
        <v>0.685546875</v>
      </c>
      <c r="E352">
        <f t="shared" si="61"/>
        <v>1568.020907640723</v>
      </c>
      <c r="F352">
        <f t="shared" si="62"/>
        <v>-323.82590000000005</v>
      </c>
      <c r="G352" t="s">
        <v>357</v>
      </c>
      <c r="H352">
        <v>175.06061111111109</v>
      </c>
      <c r="I352">
        <f t="shared" si="59"/>
        <v>-498.88651111111113</v>
      </c>
      <c r="J352">
        <f t="shared" si="67"/>
        <v>-0.74865698937022163</v>
      </c>
      <c r="K352">
        <f t="shared" si="63"/>
        <v>-27.200000000000045</v>
      </c>
      <c r="L352">
        <f t="shared" si="65"/>
        <v>1745.3099999999995</v>
      </c>
      <c r="M352">
        <f>AVERAGE(B352:B401)</f>
        <v>1873.5060000000001</v>
      </c>
      <c r="N352">
        <f t="shared" si="68"/>
        <v>3.1649999999997362</v>
      </c>
      <c r="O352">
        <v>-476.10873333333325</v>
      </c>
      <c r="P352">
        <f t="shared" si="66"/>
        <v>-74.865698937022159</v>
      </c>
    </row>
    <row r="353" spans="1:25">
      <c r="A353" s="1">
        <v>352</v>
      </c>
      <c r="B353">
        <v>1722.6</v>
      </c>
      <c r="C353">
        <f t="shared" si="64"/>
        <v>2076.8768</v>
      </c>
      <c r="D353">
        <f t="shared" si="60"/>
        <v>0.6875</v>
      </c>
      <c r="E353">
        <f t="shared" si="61"/>
        <v>1530.6809346152429</v>
      </c>
      <c r="F353">
        <f t="shared" si="62"/>
        <v>-354.27680000000009</v>
      </c>
      <c r="G353" t="s">
        <v>358</v>
      </c>
      <c r="H353">
        <v>175.60114444444446</v>
      </c>
      <c r="I353">
        <f t="shared" si="59"/>
        <v>-529.87794444444455</v>
      </c>
      <c r="J353">
        <f t="shared" si="67"/>
        <v>-1.5790084755602025</v>
      </c>
      <c r="K353">
        <f t="shared" si="63"/>
        <v>6</v>
      </c>
      <c r="L353">
        <f t="shared" si="65"/>
        <v>1752.1149999999998</v>
      </c>
      <c r="M353">
        <f>AVERAGE(B353:B403)</f>
        <v>1880.4215686274513</v>
      </c>
      <c r="N353">
        <f t="shared" si="68"/>
        <v>6.805000000000291</v>
      </c>
      <c r="O353">
        <v>-498.88651111111113</v>
      </c>
      <c r="P353">
        <f t="shared" si="66"/>
        <v>-157.90084755602024</v>
      </c>
    </row>
    <row r="354" spans="1:25">
      <c r="A354" s="1">
        <v>353</v>
      </c>
      <c r="B354">
        <v>1728.6</v>
      </c>
      <c r="C354">
        <f t="shared" si="64"/>
        <v>2080.1277</v>
      </c>
      <c r="D354">
        <f t="shared" si="60"/>
        <v>0.689453125</v>
      </c>
      <c r="E354">
        <f t="shared" si="61"/>
        <v>2112.4051184295072</v>
      </c>
      <c r="F354">
        <f t="shared" si="62"/>
        <v>-351.5277000000001</v>
      </c>
      <c r="G354" t="s">
        <v>359</v>
      </c>
      <c r="H354">
        <v>183.85024444444448</v>
      </c>
      <c r="I354">
        <f t="shared" si="59"/>
        <v>-535.37794444444455</v>
      </c>
      <c r="J354">
        <f t="shared" si="67"/>
        <v>0.34710170079833391</v>
      </c>
      <c r="K354">
        <f t="shared" si="63"/>
        <v>-45.099999999999909</v>
      </c>
      <c r="L354">
        <f t="shared" si="65"/>
        <v>1759.4699999999998</v>
      </c>
      <c r="M354">
        <f>AVERAGE(B354:B403)</f>
        <v>1883.5780000000002</v>
      </c>
      <c r="N354">
        <f t="shared" si="68"/>
        <v>7.3550000000000182</v>
      </c>
      <c r="O354">
        <v>-529.87794444444455</v>
      </c>
      <c r="P354">
        <f t="shared" si="66"/>
        <v>34.710170079833389</v>
      </c>
      <c r="R354" s="28" t="s">
        <v>544</v>
      </c>
    </row>
    <row r="355" spans="1:25">
      <c r="A355" s="1">
        <v>354</v>
      </c>
      <c r="B355">
        <v>1683.5</v>
      </c>
      <c r="C355">
        <f t="shared" si="64"/>
        <v>2083.3786</v>
      </c>
      <c r="D355">
        <f t="shared" si="60"/>
        <v>0.69140625</v>
      </c>
      <c r="E355">
        <f t="shared" si="61"/>
        <v>1845.0232229266419</v>
      </c>
      <c r="F355">
        <f t="shared" si="62"/>
        <v>-399.87860000000001</v>
      </c>
      <c r="G355" t="s">
        <v>360</v>
      </c>
      <c r="H355">
        <v>187.5549</v>
      </c>
      <c r="I355">
        <f t="shared" si="59"/>
        <v>-587.43349999999998</v>
      </c>
      <c r="J355">
        <f t="shared" si="67"/>
        <v>-2.6789426789426733</v>
      </c>
      <c r="K355">
        <f t="shared" si="63"/>
        <v>-27.900000000000091</v>
      </c>
      <c r="L355">
        <f t="shared" si="65"/>
        <v>1769.9650000000001</v>
      </c>
      <c r="M355">
        <f>AVERAGE(B355:B405)</f>
        <v>1888.4980392156867</v>
      </c>
      <c r="N355">
        <f t="shared" si="68"/>
        <v>10.495000000000346</v>
      </c>
      <c r="O355">
        <v>-535.37794444444455</v>
      </c>
      <c r="P355">
        <f t="shared" si="66"/>
        <v>-267.89426789426733</v>
      </c>
    </row>
    <row r="356" spans="1:25">
      <c r="A356" s="1">
        <v>355</v>
      </c>
      <c r="B356">
        <v>1655.6</v>
      </c>
      <c r="C356">
        <f t="shared" si="64"/>
        <v>2086.6295</v>
      </c>
      <c r="D356">
        <f t="shared" si="60"/>
        <v>0.693359375</v>
      </c>
      <c r="E356">
        <f t="shared" si="61"/>
        <v>2133.9171232971566</v>
      </c>
      <c r="F356">
        <f t="shared" si="62"/>
        <v>-431.0295000000001</v>
      </c>
      <c r="G356" t="s">
        <v>361</v>
      </c>
      <c r="H356">
        <v>181.60400000000004</v>
      </c>
      <c r="I356">
        <f t="shared" si="59"/>
        <v>-612.63350000000014</v>
      </c>
      <c r="J356">
        <f t="shared" si="67"/>
        <v>-1.68518965933801</v>
      </c>
      <c r="K356">
        <f t="shared" si="63"/>
        <v>29.300000000000182</v>
      </c>
      <c r="L356">
        <f t="shared" si="65"/>
        <v>1783.0350000000003</v>
      </c>
      <c r="M356">
        <f>AVERAGE(B356:B405)</f>
        <v>1892.5980000000004</v>
      </c>
      <c r="N356">
        <f t="shared" si="68"/>
        <v>13.070000000000164</v>
      </c>
      <c r="O356">
        <v>-587.43349999999998</v>
      </c>
      <c r="P356">
        <f t="shared" si="66"/>
        <v>-168.51896593380101</v>
      </c>
    </row>
    <row r="357" spans="1:25">
      <c r="A357" s="1">
        <v>356</v>
      </c>
      <c r="B357">
        <v>1684.9</v>
      </c>
      <c r="C357">
        <f t="shared" si="64"/>
        <v>2089.8804</v>
      </c>
      <c r="D357">
        <f t="shared" si="60"/>
        <v>0.6953125</v>
      </c>
      <c r="E357">
        <f t="shared" si="61"/>
        <v>1823.3799617064642</v>
      </c>
      <c r="F357">
        <f t="shared" si="62"/>
        <v>-404.98039999999992</v>
      </c>
      <c r="G357" t="s">
        <v>362</v>
      </c>
      <c r="H357">
        <v>174.28643333333338</v>
      </c>
      <c r="I357">
        <f t="shared" si="59"/>
        <v>-579.26683333333335</v>
      </c>
      <c r="J357">
        <f t="shared" si="67"/>
        <v>1.7389756068609521</v>
      </c>
      <c r="K357">
        <f t="shared" si="63"/>
        <v>37.899999999999864</v>
      </c>
      <c r="L357">
        <f t="shared" si="65"/>
        <v>1797.5349999999999</v>
      </c>
      <c r="M357">
        <f>AVERAGE(B357:B407)</f>
        <v>1899.6333333333334</v>
      </c>
      <c r="N357">
        <f t="shared" si="68"/>
        <v>14.499999999999545</v>
      </c>
      <c r="O357">
        <v>-612.63350000000014</v>
      </c>
      <c r="P357">
        <f t="shared" si="66"/>
        <v>173.8975606860952</v>
      </c>
    </row>
    <row r="358" spans="1:25">
      <c r="A358" s="1">
        <v>357</v>
      </c>
      <c r="B358">
        <v>1722.8</v>
      </c>
      <c r="C358">
        <f t="shared" si="64"/>
        <v>2093.1313</v>
      </c>
      <c r="D358">
        <f t="shared" si="60"/>
        <v>0.697265625</v>
      </c>
      <c r="E358">
        <f t="shared" si="61"/>
        <v>1545.4082369865739</v>
      </c>
      <c r="F358">
        <f t="shared" si="62"/>
        <v>-370.33130000000006</v>
      </c>
      <c r="G358" t="s">
        <v>363</v>
      </c>
      <c r="H358">
        <v>168.29108888888885</v>
      </c>
      <c r="I358">
        <f t="shared" si="59"/>
        <v>-538.62238888888896</v>
      </c>
      <c r="J358">
        <f t="shared" si="67"/>
        <v>2.199907127931267</v>
      </c>
      <c r="K358">
        <f t="shared" si="63"/>
        <v>-60</v>
      </c>
      <c r="L358">
        <f t="shared" si="65"/>
        <v>1807.9550000000004</v>
      </c>
      <c r="M358">
        <f>AVERAGE(B358:B407)</f>
        <v>1903.9280000000001</v>
      </c>
      <c r="N358">
        <f t="shared" si="68"/>
        <v>10.420000000000528</v>
      </c>
      <c r="O358">
        <v>-579.26683333333335</v>
      </c>
      <c r="P358">
        <f t="shared" si="66"/>
        <v>219.9907127931267</v>
      </c>
      <c r="Y358" t="s">
        <v>572</v>
      </c>
    </row>
    <row r="359" spans="1:25">
      <c r="A359" s="1">
        <v>358</v>
      </c>
      <c r="B359">
        <v>1662.8</v>
      </c>
      <c r="C359">
        <f t="shared" si="64"/>
        <v>2096.3822</v>
      </c>
      <c r="D359">
        <f t="shared" si="60"/>
        <v>0.69921875</v>
      </c>
      <c r="E359">
        <f t="shared" si="61"/>
        <v>2525.3465715753232</v>
      </c>
      <c r="F359">
        <f t="shared" si="62"/>
        <v>-433.58220000000006</v>
      </c>
      <c r="G359" t="s">
        <v>364</v>
      </c>
      <c r="H359">
        <v>163.41796666666673</v>
      </c>
      <c r="I359">
        <f t="shared" si="59"/>
        <v>-597.00016666666681</v>
      </c>
      <c r="J359">
        <f t="shared" si="67"/>
        <v>-3.6083714216983398</v>
      </c>
      <c r="K359">
        <f t="shared" si="63"/>
        <v>7.4000000000000909</v>
      </c>
      <c r="L359">
        <f t="shared" si="65"/>
        <v>1816.375</v>
      </c>
      <c r="M359">
        <f>AVERAGE(B359:B409)</f>
        <v>1909.0686274509803</v>
      </c>
      <c r="N359">
        <f t="shared" si="68"/>
        <v>8.419999999999618</v>
      </c>
      <c r="O359">
        <v>-538.62238888888896</v>
      </c>
      <c r="P359">
        <f t="shared" si="66"/>
        <v>-360.83714216983395</v>
      </c>
    </row>
    <row r="360" spans="1:25">
      <c r="A360" s="1">
        <v>359</v>
      </c>
      <c r="B360">
        <v>1670.2</v>
      </c>
      <c r="C360">
        <f t="shared" si="64"/>
        <v>2099.6331</v>
      </c>
      <c r="D360">
        <f t="shared" si="60"/>
        <v>0.701171875</v>
      </c>
      <c r="E360">
        <f t="shared" si="61"/>
        <v>2011.5725206162642</v>
      </c>
      <c r="F360">
        <f t="shared" si="62"/>
        <v>-429.43309999999997</v>
      </c>
      <c r="G360" t="s">
        <v>365</v>
      </c>
      <c r="H360">
        <v>168.63373333333334</v>
      </c>
      <c r="I360">
        <f t="shared" si="59"/>
        <v>-598.06683333333331</v>
      </c>
      <c r="J360">
        <f t="shared" si="67"/>
        <v>0.44306071129206631</v>
      </c>
      <c r="K360">
        <f t="shared" si="63"/>
        <v>-11.100000000000136</v>
      </c>
      <c r="L360">
        <f t="shared" si="65"/>
        <v>1826.5800000000004</v>
      </c>
      <c r="M360">
        <f>AVERAGE(B360:B409)</f>
        <v>1913.9939999999999</v>
      </c>
      <c r="N360">
        <f t="shared" si="68"/>
        <v>10.205000000000382</v>
      </c>
      <c r="O360">
        <v>-597.00016666666681</v>
      </c>
      <c r="P360">
        <f t="shared" si="66"/>
        <v>44.306071129206629</v>
      </c>
    </row>
    <row r="361" spans="1:25">
      <c r="A361" s="1">
        <v>360</v>
      </c>
      <c r="B361">
        <v>1659.1</v>
      </c>
      <c r="C361">
        <f t="shared" si="64"/>
        <v>2102.884</v>
      </c>
      <c r="D361">
        <f t="shared" si="60"/>
        <v>0.703125</v>
      </c>
      <c r="E361">
        <f t="shared" si="61"/>
        <v>2019.3736784970642</v>
      </c>
      <c r="F361">
        <f t="shared" si="62"/>
        <v>-443.78400000000011</v>
      </c>
      <c r="G361" t="s">
        <v>366</v>
      </c>
      <c r="H361">
        <v>175.06061111111109</v>
      </c>
      <c r="I361">
        <f t="shared" si="59"/>
        <v>-618.84461111111113</v>
      </c>
      <c r="J361">
        <f t="shared" si="67"/>
        <v>-0.66903742993189907</v>
      </c>
      <c r="K361">
        <f t="shared" si="63"/>
        <v>31.5</v>
      </c>
      <c r="L361">
        <f t="shared" si="65"/>
        <v>1834.7650000000001</v>
      </c>
      <c r="M361">
        <f>AVERAGE(B361:B411)</f>
        <v>1918.833333333333</v>
      </c>
      <c r="N361">
        <f t="shared" si="68"/>
        <v>8.1849999999997181</v>
      </c>
      <c r="O361">
        <v>-598.06683333333331</v>
      </c>
      <c r="P361">
        <f t="shared" si="66"/>
        <v>-66.903742993189908</v>
      </c>
    </row>
    <row r="362" spans="1:25">
      <c r="A362" s="1">
        <v>361</v>
      </c>
      <c r="B362">
        <v>1690.6</v>
      </c>
      <c r="C362">
        <f t="shared" si="64"/>
        <v>2106.1349</v>
      </c>
      <c r="D362">
        <f t="shared" si="60"/>
        <v>0.705078125</v>
      </c>
      <c r="E362">
        <f t="shared" si="61"/>
        <v>1858.2520448055695</v>
      </c>
      <c r="F362">
        <f t="shared" si="62"/>
        <v>-415.53490000000011</v>
      </c>
      <c r="G362" t="s">
        <v>367</v>
      </c>
      <c r="H362">
        <v>175.60114444444446</v>
      </c>
      <c r="I362">
        <f t="shared" si="59"/>
        <v>-591.13604444444456</v>
      </c>
      <c r="J362">
        <f t="shared" si="67"/>
        <v>1.8632438187625697</v>
      </c>
      <c r="K362">
        <f t="shared" si="63"/>
        <v>92.900000000000091</v>
      </c>
      <c r="L362">
        <f t="shared" si="65"/>
        <v>1845.3800000000003</v>
      </c>
      <c r="M362">
        <f>AVERAGE(B362:B411)</f>
        <v>1924.0279999999998</v>
      </c>
      <c r="N362">
        <f t="shared" si="68"/>
        <v>10.615000000000236</v>
      </c>
      <c r="O362">
        <v>-618.84461111111113</v>
      </c>
      <c r="P362">
        <f t="shared" si="66"/>
        <v>186.32438187625698</v>
      </c>
    </row>
    <row r="363" spans="1:25">
      <c r="A363" s="1">
        <v>362</v>
      </c>
      <c r="B363">
        <v>1783.5</v>
      </c>
      <c r="C363">
        <f t="shared" si="64"/>
        <v>2109.3858</v>
      </c>
      <c r="D363">
        <f t="shared" si="60"/>
        <v>0.70703125</v>
      </c>
      <c r="E363">
        <f t="shared" si="61"/>
        <v>1384.54985739217</v>
      </c>
      <c r="F363">
        <f t="shared" si="62"/>
        <v>-325.88580000000002</v>
      </c>
      <c r="G363" t="s">
        <v>368</v>
      </c>
      <c r="H363">
        <v>183.85024444444448</v>
      </c>
      <c r="I363">
        <f t="shared" si="59"/>
        <v>-509.73604444444447</v>
      </c>
      <c r="J363">
        <f t="shared" si="67"/>
        <v>5.2088589851415801</v>
      </c>
      <c r="K363">
        <f t="shared" si="63"/>
        <v>-14.5</v>
      </c>
      <c r="L363">
        <f t="shared" si="65"/>
        <v>1855.0500000000004</v>
      </c>
      <c r="M363">
        <f>AVERAGE(B363:B413)</f>
        <v>1928.1627450980393</v>
      </c>
      <c r="N363">
        <f t="shared" si="68"/>
        <v>9.6700000000000728</v>
      </c>
      <c r="O363">
        <v>-591.13604444444456</v>
      </c>
      <c r="P363">
        <f t="shared" si="66"/>
        <v>520.88589851415804</v>
      </c>
    </row>
    <row r="364" spans="1:25">
      <c r="A364" s="1">
        <v>363</v>
      </c>
      <c r="B364">
        <v>1769</v>
      </c>
      <c r="C364">
        <f t="shared" si="64"/>
        <v>2112.6367</v>
      </c>
      <c r="D364">
        <f t="shared" si="60"/>
        <v>0.708984375</v>
      </c>
      <c r="E364">
        <f t="shared" si="61"/>
        <v>1734.4396414365149</v>
      </c>
      <c r="F364">
        <f t="shared" si="62"/>
        <v>-343.63670000000002</v>
      </c>
      <c r="G364" t="s">
        <v>369</v>
      </c>
      <c r="H364">
        <v>187.5549</v>
      </c>
      <c r="I364">
        <f t="shared" si="59"/>
        <v>-531.19159999999999</v>
      </c>
      <c r="J364">
        <f t="shared" si="67"/>
        <v>-0.81967213114754101</v>
      </c>
      <c r="K364">
        <f t="shared" si="63"/>
        <v>-0.20000000000004547</v>
      </c>
      <c r="L364">
        <f t="shared" si="65"/>
        <v>1865.3849999999998</v>
      </c>
      <c r="M364">
        <f>AVERAGE(B364:B413)</f>
        <v>1931.056</v>
      </c>
      <c r="N364">
        <f t="shared" si="68"/>
        <v>10.334999999999354</v>
      </c>
      <c r="O364">
        <v>-509.73604444444447</v>
      </c>
      <c r="P364">
        <f t="shared" si="66"/>
        <v>-81.967213114754102</v>
      </c>
    </row>
    <row r="365" spans="1:25">
      <c r="A365" s="1">
        <v>364</v>
      </c>
      <c r="B365">
        <v>1768.8</v>
      </c>
      <c r="C365">
        <f t="shared" si="64"/>
        <v>2115.8876</v>
      </c>
      <c r="D365">
        <f t="shared" si="60"/>
        <v>0.7109375</v>
      </c>
      <c r="E365">
        <f t="shared" si="61"/>
        <v>1412.1901333637311</v>
      </c>
      <c r="F365">
        <f t="shared" si="62"/>
        <v>-347.08760000000007</v>
      </c>
      <c r="G365" t="s">
        <v>370</v>
      </c>
      <c r="H365">
        <v>181.60400000000004</v>
      </c>
      <c r="I365">
        <f t="shared" si="59"/>
        <v>-528.69160000000011</v>
      </c>
      <c r="J365">
        <f t="shared" si="67"/>
        <v>-1.1307100859342237E-2</v>
      </c>
      <c r="K365">
        <f t="shared" si="63"/>
        <v>55.900000000000091</v>
      </c>
      <c r="L365">
        <f t="shared" si="65"/>
        <v>1877.0199999999998</v>
      </c>
      <c r="M365">
        <f>AVERAGE(B365:B415)</f>
        <v>1937.5882352941176</v>
      </c>
      <c r="N365">
        <f t="shared" si="68"/>
        <v>11.634999999999991</v>
      </c>
      <c r="O365">
        <v>-531.19159999999999</v>
      </c>
      <c r="P365">
        <f t="shared" si="66"/>
        <v>-1.1307100859342236</v>
      </c>
    </row>
    <row r="366" spans="1:25">
      <c r="A366" s="1">
        <v>365</v>
      </c>
      <c r="B366">
        <v>1824.7</v>
      </c>
      <c r="C366">
        <f t="shared" si="64"/>
        <v>2119.1385</v>
      </c>
      <c r="D366">
        <f t="shared" si="60"/>
        <v>0.712890625</v>
      </c>
      <c r="E366">
        <f t="shared" si="61"/>
        <v>1295.6701757334167</v>
      </c>
      <c r="F366">
        <f t="shared" si="62"/>
        <v>-294.43849999999998</v>
      </c>
      <c r="G366" t="s">
        <v>371</v>
      </c>
      <c r="H366">
        <v>174.28643333333338</v>
      </c>
      <c r="I366">
        <f t="shared" si="59"/>
        <v>-468.72493333333335</v>
      </c>
      <c r="J366">
        <f t="shared" si="67"/>
        <v>3.0635172905135137</v>
      </c>
      <c r="K366">
        <f t="shared" si="63"/>
        <v>1.2000000000000455</v>
      </c>
      <c r="L366">
        <f t="shared" si="65"/>
        <v>1888.7849999999999</v>
      </c>
      <c r="M366">
        <f>AVERAGE(B366:B415)</f>
        <v>1940.9639999999999</v>
      </c>
      <c r="N366">
        <f t="shared" si="68"/>
        <v>11.7650000000001</v>
      </c>
      <c r="O366">
        <v>-528.69160000000011</v>
      </c>
      <c r="P366">
        <f t="shared" si="66"/>
        <v>306.35172905135136</v>
      </c>
    </row>
    <row r="367" spans="1:25">
      <c r="A367" s="1">
        <v>366</v>
      </c>
      <c r="B367">
        <v>1825.9</v>
      </c>
      <c r="C367">
        <f t="shared" si="64"/>
        <v>2122.3894</v>
      </c>
      <c r="D367">
        <f t="shared" si="60"/>
        <v>0.71484375</v>
      </c>
      <c r="E367">
        <f t="shared" si="61"/>
        <v>1986.8397135937578</v>
      </c>
      <c r="F367">
        <f t="shared" si="62"/>
        <v>-296.48939999999993</v>
      </c>
      <c r="G367" t="s">
        <v>372</v>
      </c>
      <c r="H367">
        <v>168.29108888888885</v>
      </c>
      <c r="I367">
        <f t="shared" si="59"/>
        <v>-464.78048888888878</v>
      </c>
      <c r="J367">
        <f t="shared" si="67"/>
        <v>6.5721014294323102E-2</v>
      </c>
      <c r="K367">
        <f t="shared" si="63"/>
        <v>-10.300000000000182</v>
      </c>
      <c r="L367">
        <f t="shared" si="65"/>
        <v>1899.77</v>
      </c>
      <c r="M367">
        <f>AVERAGE(B367:B417)</f>
        <v>1945.1137254901962</v>
      </c>
      <c r="N367">
        <f t="shared" si="68"/>
        <v>10.985000000000127</v>
      </c>
      <c r="O367">
        <v>-468.72493333333335</v>
      </c>
      <c r="P367">
        <f t="shared" si="66"/>
        <v>6.5721014294323101</v>
      </c>
    </row>
    <row r="368" spans="1:25">
      <c r="A368" s="1">
        <v>367</v>
      </c>
      <c r="B368">
        <v>1815.6</v>
      </c>
      <c r="C368">
        <f t="shared" si="64"/>
        <v>2125.6403</v>
      </c>
      <c r="D368">
        <f t="shared" si="60"/>
        <v>0.716796875</v>
      </c>
      <c r="E368">
        <f t="shared" si="61"/>
        <v>1691.3638632186744</v>
      </c>
      <c r="F368">
        <f t="shared" si="62"/>
        <v>-310.04030000000012</v>
      </c>
      <c r="G368" t="s">
        <v>373</v>
      </c>
      <c r="H368">
        <v>163.41796666666673</v>
      </c>
      <c r="I368">
        <f t="shared" si="59"/>
        <v>-473.45826666666687</v>
      </c>
      <c r="J368">
        <f t="shared" si="67"/>
        <v>-0.56730557391496927</v>
      </c>
      <c r="K368">
        <f t="shared" si="63"/>
        <v>4.2000000000000455</v>
      </c>
      <c r="L368">
        <f t="shared" si="65"/>
        <v>1910.1950000000004</v>
      </c>
      <c r="M368">
        <f>AVERAGE(B368:B417)</f>
        <v>1947.4980000000003</v>
      </c>
      <c r="N368">
        <f t="shared" si="68"/>
        <v>10.425000000000409</v>
      </c>
      <c r="O368">
        <v>-464.78048888888878</v>
      </c>
      <c r="P368">
        <f t="shared" si="66"/>
        <v>-56.73055739149693</v>
      </c>
    </row>
    <row r="369" spans="1:18">
      <c r="A369" s="1">
        <v>368</v>
      </c>
      <c r="B369">
        <v>1819.8</v>
      </c>
      <c r="C369">
        <f t="shared" si="64"/>
        <v>2128.8912</v>
      </c>
      <c r="D369">
        <f t="shared" si="60"/>
        <v>0.71875</v>
      </c>
      <c r="E369">
        <f t="shared" si="61"/>
        <v>2099.7651033810712</v>
      </c>
      <c r="F369">
        <f t="shared" si="62"/>
        <v>-309.09120000000007</v>
      </c>
      <c r="G369" t="s">
        <v>374</v>
      </c>
      <c r="H369">
        <v>168.63373333333334</v>
      </c>
      <c r="I369">
        <f t="shared" si="59"/>
        <v>-477.72493333333341</v>
      </c>
      <c r="J369">
        <f t="shared" si="67"/>
        <v>0.23079459281239947</v>
      </c>
      <c r="K369">
        <f t="shared" si="63"/>
        <v>22.400000000000091</v>
      </c>
      <c r="L369">
        <f t="shared" si="65"/>
        <v>1919.8750000000005</v>
      </c>
      <c r="M369">
        <f>AVERAGE(B369:B419)</f>
        <v>1952.6980392156868</v>
      </c>
      <c r="N369">
        <f t="shared" si="68"/>
        <v>9.6800000000000637</v>
      </c>
      <c r="O369">
        <v>-473.45826666666687</v>
      </c>
      <c r="P369">
        <f t="shared" si="66"/>
        <v>23.079459281239949</v>
      </c>
    </row>
    <row r="370" spans="1:18">
      <c r="A370" s="1">
        <v>369</v>
      </c>
      <c r="B370">
        <v>1842.2</v>
      </c>
      <c r="C370">
        <f t="shared" si="64"/>
        <v>2132.1421</v>
      </c>
      <c r="D370">
        <f t="shared" si="60"/>
        <v>0.720703125</v>
      </c>
      <c r="E370">
        <f t="shared" si="61"/>
        <v>1791.3889062966396</v>
      </c>
      <c r="F370">
        <f t="shared" si="62"/>
        <v>-289.94209999999998</v>
      </c>
      <c r="G370" t="s">
        <v>375</v>
      </c>
      <c r="H370">
        <v>175.06061111111109</v>
      </c>
      <c r="I370">
        <f t="shared" si="59"/>
        <v>-465.00271111111107</v>
      </c>
      <c r="J370">
        <f t="shared" si="67"/>
        <v>1.2159374660731783</v>
      </c>
      <c r="K370">
        <f t="shared" si="63"/>
        <v>-16</v>
      </c>
      <c r="L370">
        <f t="shared" si="65"/>
        <v>1929.8000000000004</v>
      </c>
      <c r="M370">
        <f>AVERAGE(B370:B419)</f>
        <v>1955.3560000000004</v>
      </c>
      <c r="N370">
        <f t="shared" si="68"/>
        <v>9.9249999999999545</v>
      </c>
      <c r="O370">
        <v>-477.72493333333341</v>
      </c>
      <c r="P370">
        <f t="shared" si="66"/>
        <v>121.59374660731783</v>
      </c>
      <c r="R370" s="23" t="s">
        <v>545</v>
      </c>
    </row>
    <row r="371" spans="1:18">
      <c r="A371" s="1">
        <v>370</v>
      </c>
      <c r="B371">
        <v>1826.2</v>
      </c>
      <c r="C371">
        <f t="shared" si="64"/>
        <v>2135.393</v>
      </c>
      <c r="D371">
        <f t="shared" si="60"/>
        <v>0.72265625</v>
      </c>
      <c r="E371">
        <f t="shared" si="61"/>
        <v>1723.5637709159257</v>
      </c>
      <c r="F371">
        <f t="shared" si="62"/>
        <v>-309.19299999999998</v>
      </c>
      <c r="G371" t="s">
        <v>376</v>
      </c>
      <c r="H371">
        <v>175.60114444444446</v>
      </c>
      <c r="I371">
        <f t="shared" si="59"/>
        <v>-484.79414444444444</v>
      </c>
      <c r="J371">
        <f t="shared" si="67"/>
        <v>-0.87613623918519323</v>
      </c>
      <c r="K371">
        <f t="shared" si="63"/>
        <v>59.700000000000045</v>
      </c>
      <c r="L371">
        <f t="shared" si="65"/>
        <v>1939.9000000000003</v>
      </c>
      <c r="M371">
        <f>AVERAGE(B371:B421)</f>
        <v>1962.1313725490195</v>
      </c>
      <c r="N371">
        <f t="shared" si="68"/>
        <v>10.099999999999909</v>
      </c>
      <c r="O371">
        <v>-465.00271111111107</v>
      </c>
      <c r="P371">
        <f t="shared" si="66"/>
        <v>-87.613623918519323</v>
      </c>
    </row>
    <row r="372" spans="1:18">
      <c r="A372" s="1">
        <v>371</v>
      </c>
      <c r="B372">
        <v>1885.9</v>
      </c>
      <c r="C372">
        <f t="shared" si="64"/>
        <v>2138.6439</v>
      </c>
      <c r="D372">
        <f t="shared" si="60"/>
        <v>0.724609375</v>
      </c>
      <c r="E372">
        <f t="shared" si="61"/>
        <v>1117.9731355994381</v>
      </c>
      <c r="F372">
        <f t="shared" si="62"/>
        <v>-252.74389999999994</v>
      </c>
      <c r="G372" t="s">
        <v>377</v>
      </c>
      <c r="H372">
        <v>183.85024444444448</v>
      </c>
      <c r="I372">
        <f t="shared" si="59"/>
        <v>-436.5941444444444</v>
      </c>
      <c r="J372">
        <f t="shared" si="67"/>
        <v>3.1655973275359268</v>
      </c>
      <c r="K372">
        <f t="shared" si="63"/>
        <v>-16.200000000000045</v>
      </c>
      <c r="L372">
        <f t="shared" si="65"/>
        <v>1950.5450000000001</v>
      </c>
      <c r="M372">
        <f>AVERAGE(B372:B421)</f>
        <v>1964.85</v>
      </c>
      <c r="N372">
        <f t="shared" si="68"/>
        <v>10.644999999999754</v>
      </c>
      <c r="O372">
        <v>-484.79414444444444</v>
      </c>
      <c r="P372">
        <f t="shared" si="66"/>
        <v>316.5597327535927</v>
      </c>
    </row>
    <row r="373" spans="1:18">
      <c r="A373" s="1">
        <v>372</v>
      </c>
      <c r="B373">
        <v>1869.7</v>
      </c>
      <c r="C373">
        <f t="shared" si="64"/>
        <v>2141.8948</v>
      </c>
      <c r="D373">
        <f t="shared" si="60"/>
        <v>0.7265625</v>
      </c>
      <c r="E373">
        <f t="shared" si="61"/>
        <v>1873.6096519979028</v>
      </c>
      <c r="F373">
        <f t="shared" si="62"/>
        <v>-272.19479999999999</v>
      </c>
      <c r="G373" t="s">
        <v>378</v>
      </c>
      <c r="H373">
        <v>187.5549</v>
      </c>
      <c r="I373">
        <f t="shared" si="59"/>
        <v>-459.74969999999996</v>
      </c>
      <c r="J373">
        <f t="shared" si="67"/>
        <v>-0.86644916296732333</v>
      </c>
      <c r="K373">
        <f t="shared" si="63"/>
        <v>68.799999999999955</v>
      </c>
      <c r="L373">
        <f t="shared" si="65"/>
        <v>1956.2650000000001</v>
      </c>
      <c r="M373">
        <f>AVERAGE(B373:B423)</f>
        <v>1970.6</v>
      </c>
      <c r="N373">
        <f t="shared" si="68"/>
        <v>5.7200000000000273</v>
      </c>
      <c r="O373">
        <v>-436.5941444444444</v>
      </c>
      <c r="P373">
        <f t="shared" si="66"/>
        <v>-86.644916296732333</v>
      </c>
    </row>
    <row r="374" spans="1:18">
      <c r="A374" s="1">
        <v>373</v>
      </c>
      <c r="B374">
        <v>1938.5</v>
      </c>
      <c r="C374">
        <f t="shared" si="64"/>
        <v>2145.1457</v>
      </c>
      <c r="D374">
        <f t="shared" si="60"/>
        <v>0.728515625</v>
      </c>
      <c r="E374">
        <f t="shared" si="61"/>
        <v>1143.2583479563261</v>
      </c>
      <c r="F374">
        <f t="shared" si="62"/>
        <v>-206.64570000000003</v>
      </c>
      <c r="G374" t="s">
        <v>379</v>
      </c>
      <c r="H374">
        <v>181.60400000000004</v>
      </c>
      <c r="I374">
        <f t="shared" si="59"/>
        <v>-388.24970000000008</v>
      </c>
      <c r="J374">
        <f t="shared" si="67"/>
        <v>3.5491359298426595</v>
      </c>
      <c r="K374">
        <f t="shared" si="63"/>
        <v>6.4000000000000909</v>
      </c>
      <c r="L374">
        <f t="shared" si="65"/>
        <v>1960.9349999999999</v>
      </c>
      <c r="M374">
        <f>AVERAGE(B374:B423)</f>
        <v>1972.6179999999999</v>
      </c>
      <c r="N374">
        <f t="shared" si="68"/>
        <v>4.6699999999998454</v>
      </c>
      <c r="O374">
        <v>-459.74969999999996</v>
      </c>
      <c r="P374">
        <f t="shared" si="66"/>
        <v>354.91359298426596</v>
      </c>
    </row>
    <row r="375" spans="1:18">
      <c r="A375" s="1">
        <v>374</v>
      </c>
      <c r="B375">
        <v>1944.9</v>
      </c>
      <c r="C375">
        <f t="shared" si="64"/>
        <v>2148.3966</v>
      </c>
      <c r="D375">
        <f t="shared" si="60"/>
        <v>0.73046875</v>
      </c>
      <c r="E375">
        <f t="shared" si="61"/>
        <v>2414.7105011701965</v>
      </c>
      <c r="F375">
        <f t="shared" si="62"/>
        <v>-203.49659999999994</v>
      </c>
      <c r="G375" t="s">
        <v>380</v>
      </c>
      <c r="H375">
        <v>174.28643333333338</v>
      </c>
      <c r="I375">
        <f t="shared" si="59"/>
        <v>-377.78303333333332</v>
      </c>
      <c r="J375">
        <f t="shared" si="67"/>
        <v>0.32906576173582652</v>
      </c>
      <c r="K375">
        <f t="shared" si="63"/>
        <v>0.6999999999998181</v>
      </c>
      <c r="L375">
        <f t="shared" si="65"/>
        <v>1963.4650000000001</v>
      </c>
      <c r="M375">
        <f>AVERAGE(B375:B425)</f>
        <v>1977.5686274509803</v>
      </c>
      <c r="N375">
        <f t="shared" si="68"/>
        <v>2.5300000000002001</v>
      </c>
      <c r="O375">
        <v>-388.24970000000008</v>
      </c>
      <c r="P375">
        <f t="shared" si="66"/>
        <v>32.90657617358265</v>
      </c>
    </row>
    <row r="376" spans="1:18">
      <c r="A376" s="1">
        <v>375</v>
      </c>
      <c r="B376">
        <v>1945.6</v>
      </c>
      <c r="C376">
        <f t="shared" si="64"/>
        <v>2151.6475</v>
      </c>
      <c r="D376">
        <f t="shared" si="60"/>
        <v>0.732421875</v>
      </c>
      <c r="E376">
        <f t="shared" si="61"/>
        <v>1513.919290916418</v>
      </c>
      <c r="F376">
        <f t="shared" si="62"/>
        <v>-206.04750000000013</v>
      </c>
      <c r="G376" t="s">
        <v>381</v>
      </c>
      <c r="H376">
        <v>168.29108888888885</v>
      </c>
      <c r="I376">
        <f t="shared" si="59"/>
        <v>-374.33858888888898</v>
      </c>
      <c r="J376">
        <f t="shared" si="67"/>
        <v>3.5978618421043281E-2</v>
      </c>
      <c r="K376">
        <f t="shared" si="63"/>
        <v>-52.299999999999955</v>
      </c>
      <c r="L376">
        <f t="shared" si="65"/>
        <v>1966.0600000000002</v>
      </c>
      <c r="M376">
        <f>AVERAGE(B376:B425)</f>
        <v>1978.2220000000002</v>
      </c>
      <c r="N376">
        <f t="shared" si="68"/>
        <v>2.5950000000000273</v>
      </c>
      <c r="O376">
        <v>-377.78303333333332</v>
      </c>
      <c r="P376">
        <f t="shared" si="66"/>
        <v>3.597861842104328</v>
      </c>
    </row>
    <row r="377" spans="1:18">
      <c r="A377" s="1">
        <v>376</v>
      </c>
      <c r="B377">
        <v>1893.3</v>
      </c>
      <c r="C377">
        <f t="shared" si="64"/>
        <v>2154.8984</v>
      </c>
      <c r="D377">
        <f t="shared" si="60"/>
        <v>0.734375</v>
      </c>
      <c r="E377">
        <f t="shared" si="61"/>
        <v>1957.3602658376383</v>
      </c>
      <c r="F377">
        <f t="shared" si="62"/>
        <v>-261.59840000000008</v>
      </c>
      <c r="G377" t="s">
        <v>382</v>
      </c>
      <c r="H377">
        <v>163.41796666666673</v>
      </c>
      <c r="I377">
        <f t="shared" si="59"/>
        <v>-425.01636666666684</v>
      </c>
      <c r="J377">
        <f t="shared" si="67"/>
        <v>-2.7623725769819871</v>
      </c>
      <c r="K377">
        <f t="shared" si="63"/>
        <v>-2.0999999999999091</v>
      </c>
      <c r="L377">
        <f t="shared" si="65"/>
        <v>1968.3150000000001</v>
      </c>
      <c r="M377">
        <f>AVERAGE(B377:B427)</f>
        <v>1982.0588235294117</v>
      </c>
      <c r="N377">
        <f t="shared" si="68"/>
        <v>2.2549999999998818</v>
      </c>
      <c r="O377">
        <v>-374.33858888888898</v>
      </c>
      <c r="P377">
        <f t="shared" si="66"/>
        <v>-276.23725769819873</v>
      </c>
    </row>
    <row r="378" spans="1:18">
      <c r="A378" s="1">
        <v>377</v>
      </c>
      <c r="B378">
        <v>1891.2</v>
      </c>
      <c r="C378">
        <f t="shared" si="64"/>
        <v>2158.1493</v>
      </c>
      <c r="D378">
        <f t="shared" si="60"/>
        <v>0.736328125</v>
      </c>
      <c r="E378">
        <f t="shared" si="61"/>
        <v>1143.0070238251717</v>
      </c>
      <c r="F378">
        <f t="shared" si="62"/>
        <v>-266.94929999999999</v>
      </c>
      <c r="G378" t="s">
        <v>383</v>
      </c>
      <c r="H378">
        <v>168.63373333333334</v>
      </c>
      <c r="I378">
        <f t="shared" si="59"/>
        <v>-435.58303333333333</v>
      </c>
      <c r="J378">
        <f t="shared" si="67"/>
        <v>-0.11104060913705104</v>
      </c>
      <c r="K378">
        <f t="shared" si="63"/>
        <v>-24.299999999999955</v>
      </c>
      <c r="L378">
        <f t="shared" si="65"/>
        <v>1971.095</v>
      </c>
      <c r="M378">
        <f>AVERAGE(B378:B427)</f>
        <v>1983.8339999999998</v>
      </c>
      <c r="N378">
        <f t="shared" si="68"/>
        <v>2.7799999999999727</v>
      </c>
      <c r="O378">
        <v>-425.01636666666684</v>
      </c>
      <c r="P378">
        <f t="shared" si="66"/>
        <v>-11.104060913705103</v>
      </c>
    </row>
    <row r="379" spans="1:18">
      <c r="A379" s="1">
        <v>378</v>
      </c>
      <c r="B379">
        <v>1866.9</v>
      </c>
      <c r="C379">
        <f t="shared" si="64"/>
        <v>2161.4002</v>
      </c>
      <c r="D379">
        <f t="shared" si="60"/>
        <v>0.73828125</v>
      </c>
      <c r="E379">
        <f t="shared" si="61"/>
        <v>1738.1426947719729</v>
      </c>
      <c r="F379">
        <f t="shared" si="62"/>
        <v>-294.50019999999995</v>
      </c>
      <c r="G379" t="s">
        <v>384</v>
      </c>
      <c r="H379">
        <v>175.06061111111109</v>
      </c>
      <c r="I379">
        <f t="shared" si="59"/>
        <v>-469.56081111111104</v>
      </c>
      <c r="J379">
        <f t="shared" si="67"/>
        <v>-1.3016230114092857</v>
      </c>
      <c r="K379">
        <f t="shared" si="63"/>
        <v>-33</v>
      </c>
      <c r="L379">
        <f t="shared" si="65"/>
        <v>1973.9599999999998</v>
      </c>
      <c r="M379">
        <f>AVERAGE(B379:B429)</f>
        <v>1988.6372549019609</v>
      </c>
      <c r="N379">
        <f t="shared" si="68"/>
        <v>2.8649999999997817</v>
      </c>
      <c r="O379">
        <v>-435.58303333333333</v>
      </c>
      <c r="P379">
        <f t="shared" si="66"/>
        <v>-130.16230114092858</v>
      </c>
    </row>
    <row r="380" spans="1:18">
      <c r="A380" s="1">
        <v>379</v>
      </c>
      <c r="B380">
        <v>1833.9</v>
      </c>
      <c r="C380">
        <f t="shared" si="64"/>
        <v>2164.6511</v>
      </c>
      <c r="D380">
        <f t="shared" si="60"/>
        <v>0.740234375</v>
      </c>
      <c r="E380">
        <f t="shared" si="61"/>
        <v>1665.1162819883684</v>
      </c>
      <c r="F380">
        <f t="shared" si="62"/>
        <v>-330.75109999999995</v>
      </c>
      <c r="G380" t="s">
        <v>385</v>
      </c>
      <c r="H380">
        <v>175.60114444444446</v>
      </c>
      <c r="I380">
        <f t="shared" si="59"/>
        <v>-506.35224444444441</v>
      </c>
      <c r="J380">
        <f t="shared" si="67"/>
        <v>-1.7994438082774413</v>
      </c>
      <c r="K380">
        <f t="shared" si="63"/>
        <v>37.5</v>
      </c>
      <c r="L380">
        <f t="shared" si="65"/>
        <v>1978.1949999999997</v>
      </c>
      <c r="M380">
        <f>AVERAGE(B380:B429)</f>
        <v>1991.0719999999999</v>
      </c>
      <c r="N380">
        <f t="shared" si="68"/>
        <v>4.2349999999999</v>
      </c>
      <c r="O380">
        <v>-469.56081111111104</v>
      </c>
      <c r="P380">
        <f t="shared" si="66"/>
        <v>-179.94438082774414</v>
      </c>
    </row>
    <row r="381" spans="1:18">
      <c r="A381" s="1">
        <v>380</v>
      </c>
      <c r="B381">
        <v>1871.4</v>
      </c>
      <c r="C381">
        <f t="shared" si="64"/>
        <v>2167.902</v>
      </c>
      <c r="D381">
        <f t="shared" si="60"/>
        <v>0.7421875</v>
      </c>
      <c r="E381">
        <f t="shared" si="61"/>
        <v>1906.4927251399654</v>
      </c>
      <c r="F381">
        <f t="shared" si="62"/>
        <v>-296.50199999999995</v>
      </c>
      <c r="G381" t="s">
        <v>386</v>
      </c>
      <c r="H381">
        <v>183.85024444444448</v>
      </c>
      <c r="I381">
        <f t="shared" si="59"/>
        <v>-480.35224444444441</v>
      </c>
      <c r="J381">
        <f t="shared" si="67"/>
        <v>2.0038473869830074</v>
      </c>
      <c r="K381">
        <f t="shared" si="63"/>
        <v>12.599999999999909</v>
      </c>
      <c r="L381">
        <f t="shared" si="65"/>
        <v>1985.6699999999996</v>
      </c>
      <c r="M381">
        <f>AVERAGE(B381:B431)</f>
        <v>1996.6509803921565</v>
      </c>
      <c r="N381">
        <f t="shared" si="68"/>
        <v>7.4749999999999091</v>
      </c>
      <c r="O381">
        <v>-506.35224444444441</v>
      </c>
      <c r="P381">
        <f t="shared" si="66"/>
        <v>200.38473869830074</v>
      </c>
    </row>
    <row r="382" spans="1:18">
      <c r="A382" s="1">
        <v>381</v>
      </c>
      <c r="B382">
        <v>1884</v>
      </c>
      <c r="C382">
        <f t="shared" si="64"/>
        <v>2171.1529</v>
      </c>
      <c r="D382">
        <f t="shared" si="60"/>
        <v>0.744140625</v>
      </c>
      <c r="E382">
        <f t="shared" si="61"/>
        <v>1460.1795964704306</v>
      </c>
      <c r="F382">
        <f t="shared" si="62"/>
        <v>-287.15290000000005</v>
      </c>
      <c r="G382" t="s">
        <v>387</v>
      </c>
      <c r="H382">
        <v>187.5549</v>
      </c>
      <c r="I382">
        <f t="shared" si="59"/>
        <v>-474.70780000000002</v>
      </c>
      <c r="J382">
        <f t="shared" si="67"/>
        <v>0.66878980891719264</v>
      </c>
      <c r="K382">
        <f t="shared" si="63"/>
        <v>106.20000000000005</v>
      </c>
      <c r="L382">
        <f t="shared" si="65"/>
        <v>1991.39</v>
      </c>
      <c r="M382">
        <f>AVERAGE(B382:B431)</f>
        <v>1999.1559999999999</v>
      </c>
      <c r="N382">
        <f t="shared" si="68"/>
        <v>5.720000000000482</v>
      </c>
      <c r="O382">
        <v>-480.35224444444441</v>
      </c>
      <c r="P382">
        <f t="shared" si="66"/>
        <v>66.878980891719266</v>
      </c>
    </row>
    <row r="383" spans="1:18">
      <c r="A383" s="1">
        <v>382</v>
      </c>
      <c r="B383">
        <v>1990.2</v>
      </c>
      <c r="C383">
        <f t="shared" si="64"/>
        <v>2174.4038</v>
      </c>
      <c r="D383">
        <f t="shared" si="60"/>
        <v>0.74609375</v>
      </c>
      <c r="E383">
        <f t="shared" si="61"/>
        <v>1496.9053371652865</v>
      </c>
      <c r="F383">
        <f t="shared" si="62"/>
        <v>-184.2038</v>
      </c>
      <c r="G383" t="s">
        <v>388</v>
      </c>
      <c r="H383">
        <v>181.60400000000004</v>
      </c>
      <c r="I383">
        <f t="shared" si="59"/>
        <v>-365.80780000000004</v>
      </c>
      <c r="J383">
        <f t="shared" si="67"/>
        <v>5.3361471208923748</v>
      </c>
      <c r="K383">
        <f t="shared" si="63"/>
        <v>11.5</v>
      </c>
      <c r="L383">
        <f t="shared" si="65"/>
        <v>1997.1850000000002</v>
      </c>
      <c r="M383">
        <f>AVERAGE(B383:B433)</f>
        <v>2003.4568627450979</v>
      </c>
      <c r="N383">
        <f t="shared" si="68"/>
        <v>5.7950000000000728</v>
      </c>
      <c r="O383">
        <v>-474.70780000000002</v>
      </c>
      <c r="P383">
        <f t="shared" si="66"/>
        <v>533.61471208923751</v>
      </c>
    </row>
    <row r="384" spans="1:18">
      <c r="A384" s="1">
        <v>383</v>
      </c>
      <c r="B384">
        <v>2001.7</v>
      </c>
      <c r="C384">
        <f t="shared" si="64"/>
        <v>2177.6547</v>
      </c>
      <c r="D384">
        <f t="shared" si="60"/>
        <v>0.748046875</v>
      </c>
      <c r="E384">
        <f t="shared" si="61"/>
        <v>2421.8864239104651</v>
      </c>
      <c r="F384">
        <f t="shared" si="62"/>
        <v>-175.9547</v>
      </c>
      <c r="G384" t="s">
        <v>389</v>
      </c>
      <c r="H384">
        <v>174.28643333333338</v>
      </c>
      <c r="I384">
        <f t="shared" si="59"/>
        <v>-350.24113333333338</v>
      </c>
      <c r="J384">
        <f t="shared" si="67"/>
        <v>0.57451166508467799</v>
      </c>
      <c r="K384">
        <f t="shared" si="63"/>
        <v>2.3999999999998636</v>
      </c>
      <c r="L384">
        <f t="shared" si="65"/>
        <v>1996.48</v>
      </c>
      <c r="M384">
        <f>AVERAGE(B384:B433)</f>
        <v>2003.7219999999998</v>
      </c>
      <c r="N384">
        <f t="shared" si="68"/>
        <v>-0.70500000000015461</v>
      </c>
      <c r="O384">
        <v>-365.80780000000004</v>
      </c>
      <c r="P384">
        <f t="shared" si="66"/>
        <v>57.4511665084678</v>
      </c>
    </row>
    <row r="385" spans="1:23">
      <c r="A385" s="1">
        <v>384</v>
      </c>
      <c r="B385">
        <v>2004.1</v>
      </c>
      <c r="C385">
        <f t="shared" si="64"/>
        <v>2180.9056</v>
      </c>
      <c r="D385">
        <f t="shared" si="60"/>
        <v>0.75</v>
      </c>
      <c r="E385">
        <f t="shared" si="61"/>
        <v>1431.8664299408017</v>
      </c>
      <c r="F385">
        <f t="shared" si="62"/>
        <v>-176.80560000000014</v>
      </c>
      <c r="G385" t="s">
        <v>390</v>
      </c>
      <c r="H385">
        <v>168.29108888888885</v>
      </c>
      <c r="I385">
        <f t="shared" si="59"/>
        <v>-345.09668888888899</v>
      </c>
      <c r="J385">
        <f t="shared" si="67"/>
        <v>0.11975450326829318</v>
      </c>
      <c r="K385">
        <f t="shared" si="63"/>
        <v>40.300000000000182</v>
      </c>
      <c r="L385">
        <f t="shared" si="65"/>
        <v>1993.7249999999999</v>
      </c>
      <c r="M385">
        <f>AVERAGE(B385:B435)</f>
        <v>2007.2490196078427</v>
      </c>
      <c r="N385">
        <f t="shared" si="68"/>
        <v>-2.7550000000001091</v>
      </c>
      <c r="O385">
        <v>-350.24113333333338</v>
      </c>
      <c r="P385">
        <f t="shared" si="66"/>
        <v>11.975450326829318</v>
      </c>
    </row>
    <row r="386" spans="1:23">
      <c r="A386" s="1">
        <v>385</v>
      </c>
      <c r="B386">
        <v>2044.4</v>
      </c>
      <c r="C386">
        <f t="shared" si="64"/>
        <v>2184.1565000000001</v>
      </c>
      <c r="D386">
        <f t="shared" si="60"/>
        <v>0.751953125</v>
      </c>
      <c r="E386">
        <f t="shared" si="61"/>
        <v>1524.178142475482</v>
      </c>
      <c r="F386">
        <f t="shared" si="62"/>
        <v>-139.75649999999996</v>
      </c>
      <c r="G386" t="s">
        <v>391</v>
      </c>
      <c r="H386">
        <v>163.41796666666673</v>
      </c>
      <c r="I386">
        <f t="shared" ref="I386:I449" si="69">B386-C386-H386</f>
        <v>-303.17446666666672</v>
      </c>
      <c r="J386">
        <f t="shared" si="67"/>
        <v>1.9712385051849042</v>
      </c>
      <c r="K386">
        <f t="shared" si="63"/>
        <v>-10</v>
      </c>
      <c r="L386">
        <f t="shared" si="65"/>
        <v>1989.3449999999998</v>
      </c>
      <c r="M386">
        <f>AVERAGE(B386:B435)</f>
        <v>2007.3119999999994</v>
      </c>
      <c r="N386">
        <f t="shared" si="68"/>
        <v>-4.3800000000001091</v>
      </c>
      <c r="O386">
        <v>-345.09668888888899</v>
      </c>
      <c r="P386">
        <f t="shared" si="66"/>
        <v>197.12385051849043</v>
      </c>
      <c r="R386" s="24" t="s">
        <v>546</v>
      </c>
      <c r="S386" t="s">
        <v>638</v>
      </c>
    </row>
    <row r="387" spans="1:23">
      <c r="A387" s="1">
        <v>386</v>
      </c>
      <c r="B387">
        <v>2034.4</v>
      </c>
      <c r="C387">
        <f t="shared" si="64"/>
        <v>2187.4074000000001</v>
      </c>
      <c r="D387">
        <f t="shared" ref="D387:D450" si="70">A387/512</f>
        <v>0.75390625</v>
      </c>
      <c r="E387">
        <f t="shared" ref="E387:E450" si="71">IMABS(G387)</f>
        <v>1292.7330780342934</v>
      </c>
      <c r="F387">
        <f t="shared" ref="F387:F450" si="72">B387-C387</f>
        <v>-153.00739999999996</v>
      </c>
      <c r="G387" t="s">
        <v>392</v>
      </c>
      <c r="H387">
        <v>168.63373333333334</v>
      </c>
      <c r="I387">
        <f t="shared" si="69"/>
        <v>-321.6411333333333</v>
      </c>
      <c r="J387">
        <f t="shared" si="67"/>
        <v>-0.49154541879669678</v>
      </c>
      <c r="K387">
        <f t="shared" ref="K387:K450" si="73">B388-B387</f>
        <v>-25.200000000000045</v>
      </c>
      <c r="L387">
        <f t="shared" si="65"/>
        <v>1984.1200000000001</v>
      </c>
      <c r="M387">
        <f>AVERAGE(B387:B437)</f>
        <v>2013.9333333333334</v>
      </c>
      <c r="N387">
        <f t="shared" si="68"/>
        <v>-5.2249999999996817</v>
      </c>
      <c r="O387">
        <v>-303.17446666666672</v>
      </c>
      <c r="P387">
        <f t="shared" si="66"/>
        <v>-49.154541879669679</v>
      </c>
      <c r="S387" t="s">
        <v>2</v>
      </c>
    </row>
    <row r="388" spans="1:23">
      <c r="A388" s="1">
        <v>387</v>
      </c>
      <c r="B388">
        <v>2009.2</v>
      </c>
      <c r="C388">
        <f t="shared" ref="C388:C451" si="74">3.2509*A388+932.56</f>
        <v>2190.6583000000001</v>
      </c>
      <c r="D388">
        <f t="shared" si="70"/>
        <v>0.755859375</v>
      </c>
      <c r="E388">
        <f t="shared" si="71"/>
        <v>1637.4838832360933</v>
      </c>
      <c r="F388">
        <f t="shared" si="72"/>
        <v>-181.45830000000001</v>
      </c>
      <c r="G388" t="s">
        <v>393</v>
      </c>
      <c r="H388">
        <v>175.06061111111109</v>
      </c>
      <c r="I388">
        <f t="shared" si="69"/>
        <v>-356.51891111111109</v>
      </c>
      <c r="J388">
        <f t="shared" si="67"/>
        <v>-1.2542305395182185</v>
      </c>
      <c r="K388">
        <f t="shared" si="73"/>
        <v>9.0999999999999091</v>
      </c>
      <c r="L388">
        <f t="shared" ref="L388:L451" si="75">AVERAGE(B388:B407)</f>
        <v>1980.7549999999999</v>
      </c>
      <c r="M388">
        <f>AVERAGE(B388:B437)</f>
        <v>2013.5239999999999</v>
      </c>
      <c r="N388">
        <f t="shared" si="68"/>
        <v>-3.3650000000002365</v>
      </c>
      <c r="O388">
        <v>-321.6411333333333</v>
      </c>
      <c r="P388">
        <f t="shared" ref="P388:P451" si="76">J388*100</f>
        <v>-125.42305395182186</v>
      </c>
      <c r="T388" t="s">
        <v>539</v>
      </c>
      <c r="U388" t="s">
        <v>4</v>
      </c>
      <c r="V388" t="s">
        <v>5</v>
      </c>
      <c r="W388" t="s">
        <v>565</v>
      </c>
    </row>
    <row r="389" spans="1:23">
      <c r="A389" s="1">
        <v>388</v>
      </c>
      <c r="B389">
        <v>2018.3</v>
      </c>
      <c r="C389">
        <f t="shared" si="74"/>
        <v>2193.9092000000001</v>
      </c>
      <c r="D389">
        <f t="shared" si="70"/>
        <v>0.7578125</v>
      </c>
      <c r="E389">
        <f t="shared" si="71"/>
        <v>1380.8880496260779</v>
      </c>
      <c r="F389">
        <f t="shared" si="72"/>
        <v>-175.6092000000001</v>
      </c>
      <c r="G389" t="s">
        <v>394</v>
      </c>
      <c r="H389">
        <v>175.60114444444446</v>
      </c>
      <c r="I389">
        <f t="shared" si="69"/>
        <v>-351.21034444444456</v>
      </c>
      <c r="J389">
        <f t="shared" ref="J389:J452" si="77">((B389-B388)/B389)*100</f>
        <v>0.45087449834018284</v>
      </c>
      <c r="K389">
        <f t="shared" si="73"/>
        <v>25.900000000000091</v>
      </c>
      <c r="L389">
        <f t="shared" si="75"/>
        <v>1977.4299999999996</v>
      </c>
      <c r="M389">
        <f>AVERAGE(B389:B439)</f>
        <v>2021.7058823529412</v>
      </c>
      <c r="N389">
        <f t="shared" ref="N389:N452" si="78">L389-L388</f>
        <v>-3.3250000000002728</v>
      </c>
      <c r="O389">
        <v>-356.51891111111109</v>
      </c>
      <c r="P389">
        <f t="shared" si="76"/>
        <v>45.087449834018287</v>
      </c>
      <c r="S389" t="s">
        <v>633</v>
      </c>
      <c r="T389" t="s">
        <v>3</v>
      </c>
      <c r="U389">
        <f>AVERAGE(N3:N248)</f>
        <v>2.9069715447154474</v>
      </c>
      <c r="V389">
        <f>_xlfn.STDEV.P(N3:N248)</f>
        <v>5.6617341344997323</v>
      </c>
      <c r="W389">
        <f>COUNT(N3:N248)</f>
        <v>246</v>
      </c>
    </row>
    <row r="390" spans="1:23">
      <c r="A390" s="1">
        <v>389</v>
      </c>
      <c r="B390">
        <v>2044.2</v>
      </c>
      <c r="C390">
        <f t="shared" si="74"/>
        <v>2197.1601000000001</v>
      </c>
      <c r="D390">
        <f t="shared" si="70"/>
        <v>0.759765625</v>
      </c>
      <c r="E390">
        <f t="shared" si="71"/>
        <v>644.17764188909746</v>
      </c>
      <c r="F390">
        <f t="shared" si="72"/>
        <v>-152.96010000000001</v>
      </c>
      <c r="G390" t="s">
        <v>395</v>
      </c>
      <c r="H390">
        <v>183.85024444444448</v>
      </c>
      <c r="I390">
        <f t="shared" si="69"/>
        <v>-336.81034444444447</v>
      </c>
      <c r="J390">
        <f t="shared" si="77"/>
        <v>1.2669993151355097</v>
      </c>
      <c r="K390">
        <f t="shared" si="73"/>
        <v>-5.1000000000001364</v>
      </c>
      <c r="L390">
        <f t="shared" si="75"/>
        <v>1973.8249999999996</v>
      </c>
      <c r="M390">
        <f>AVERAGE(B390:B439)</f>
        <v>2021.7739999999999</v>
      </c>
      <c r="N390">
        <f t="shared" si="78"/>
        <v>-3.6050000000000182</v>
      </c>
      <c r="O390">
        <v>-351.21034444444456</v>
      </c>
      <c r="P390">
        <f t="shared" si="76"/>
        <v>126.69993151355096</v>
      </c>
      <c r="S390" t="s">
        <v>634</v>
      </c>
      <c r="T390" t="s">
        <v>6</v>
      </c>
      <c r="U390">
        <f>AVERAGE(N249:N494)</f>
        <v>5.9628455284552873</v>
      </c>
      <c r="V390">
        <f>_xlfn.STDEV.P(N249:N494)</f>
        <v>9.9216536940632647</v>
      </c>
      <c r="W390">
        <f>COUNT(N249:N494)</f>
        <v>246</v>
      </c>
    </row>
    <row r="391" spans="1:23">
      <c r="A391" s="1">
        <v>390</v>
      </c>
      <c r="B391">
        <v>2039.1</v>
      </c>
      <c r="C391">
        <f t="shared" si="74"/>
        <v>2200.4110000000001</v>
      </c>
      <c r="D391">
        <f t="shared" si="70"/>
        <v>0.76171875</v>
      </c>
      <c r="E391">
        <f t="shared" si="71"/>
        <v>1526.1939442360099</v>
      </c>
      <c r="F391">
        <f t="shared" si="72"/>
        <v>-161.31100000000015</v>
      </c>
      <c r="G391" t="s">
        <v>396</v>
      </c>
      <c r="H391">
        <v>187.5549</v>
      </c>
      <c r="I391">
        <f t="shared" si="69"/>
        <v>-348.86590000000012</v>
      </c>
      <c r="J391">
        <f t="shared" si="77"/>
        <v>-0.25011034279830008</v>
      </c>
      <c r="K391">
        <f t="shared" si="73"/>
        <v>-38.799999999999955</v>
      </c>
      <c r="L391">
        <f t="shared" si="75"/>
        <v>1968.8949999999998</v>
      </c>
      <c r="M391">
        <f>AVERAGE(B391:B441)</f>
        <v>2035.4392156862748</v>
      </c>
      <c r="N391">
        <f t="shared" si="78"/>
        <v>-4.9299999999998363</v>
      </c>
      <c r="O391">
        <v>-336.81034444444447</v>
      </c>
      <c r="P391">
        <f t="shared" si="76"/>
        <v>-25.011034279830007</v>
      </c>
      <c r="S391" t="s">
        <v>571</v>
      </c>
    </row>
    <row r="392" spans="1:23">
      <c r="A392" s="1">
        <v>391</v>
      </c>
      <c r="B392">
        <v>2000.3</v>
      </c>
      <c r="C392">
        <f t="shared" si="74"/>
        <v>2203.6619000000001</v>
      </c>
      <c r="D392">
        <f t="shared" si="70"/>
        <v>0.763671875</v>
      </c>
      <c r="E392">
        <f t="shared" si="71"/>
        <v>1796.1629388096367</v>
      </c>
      <c r="F392">
        <f t="shared" si="72"/>
        <v>-203.36190000000011</v>
      </c>
      <c r="G392" t="s">
        <v>397</v>
      </c>
      <c r="H392">
        <v>181.60400000000004</v>
      </c>
      <c r="I392">
        <f t="shared" si="69"/>
        <v>-384.96590000000015</v>
      </c>
      <c r="J392">
        <f t="shared" si="77"/>
        <v>-1.9397090436434512</v>
      </c>
      <c r="K392">
        <f t="shared" si="73"/>
        <v>-37.200000000000045</v>
      </c>
      <c r="L392">
        <f t="shared" si="75"/>
        <v>1961.2099999999998</v>
      </c>
      <c r="M392">
        <f>AVERAGE(B392:B441)</f>
        <v>2035.3660000000004</v>
      </c>
      <c r="N392">
        <f t="shared" si="78"/>
        <v>-7.6849999999999454</v>
      </c>
      <c r="O392">
        <v>-348.86590000000012</v>
      </c>
      <c r="P392">
        <f t="shared" si="76"/>
        <v>-193.97090436434513</v>
      </c>
      <c r="T392" t="s">
        <v>635</v>
      </c>
    </row>
    <row r="393" spans="1:23">
      <c r="A393" s="1">
        <v>392</v>
      </c>
      <c r="B393">
        <v>1963.1</v>
      </c>
      <c r="C393">
        <f t="shared" si="74"/>
        <v>2206.9128000000001</v>
      </c>
      <c r="D393">
        <f t="shared" si="70"/>
        <v>0.765625</v>
      </c>
      <c r="E393">
        <f t="shared" si="71"/>
        <v>1923.1455857965004</v>
      </c>
      <c r="F393">
        <f t="shared" si="72"/>
        <v>-243.81280000000015</v>
      </c>
      <c r="G393" t="s">
        <v>398</v>
      </c>
      <c r="H393">
        <v>174.28643333333338</v>
      </c>
      <c r="I393">
        <f t="shared" si="69"/>
        <v>-418.09923333333353</v>
      </c>
      <c r="J393">
        <f t="shared" si="77"/>
        <v>-1.8949620498191659</v>
      </c>
      <c r="K393">
        <f t="shared" si="73"/>
        <v>26</v>
      </c>
      <c r="L393">
        <f t="shared" si="75"/>
        <v>1954.4150000000002</v>
      </c>
      <c r="M393">
        <f>AVERAGE(B393:B443)</f>
        <v>2050.4588235294123</v>
      </c>
      <c r="N393">
        <f t="shared" si="78"/>
        <v>-6.794999999999618</v>
      </c>
      <c r="O393">
        <v>-384.96590000000015</v>
      </c>
      <c r="P393">
        <f t="shared" si="76"/>
        <v>-189.49620498191661</v>
      </c>
    </row>
    <row r="394" spans="1:23">
      <c r="A394" s="1">
        <v>393</v>
      </c>
      <c r="B394">
        <v>1989.1</v>
      </c>
      <c r="C394">
        <f t="shared" si="74"/>
        <v>2210.1637000000001</v>
      </c>
      <c r="D394">
        <f t="shared" si="70"/>
        <v>0.767578125</v>
      </c>
      <c r="E394">
        <f t="shared" si="71"/>
        <v>1718.8437096629009</v>
      </c>
      <c r="F394">
        <f t="shared" si="72"/>
        <v>-221.06370000000015</v>
      </c>
      <c r="G394" t="s">
        <v>399</v>
      </c>
      <c r="H394">
        <v>168.29108888888885</v>
      </c>
      <c r="I394">
        <f t="shared" si="69"/>
        <v>-389.354788888889</v>
      </c>
      <c r="J394">
        <f t="shared" si="77"/>
        <v>1.3071238248454076</v>
      </c>
      <c r="K394">
        <f t="shared" si="73"/>
        <v>7.7000000000000455</v>
      </c>
      <c r="L394">
        <f t="shared" si="75"/>
        <v>1954.3150000000001</v>
      </c>
      <c r="M394">
        <f>AVERAGE(B394:B443)</f>
        <v>2052.2060000000006</v>
      </c>
      <c r="N394">
        <f t="shared" si="78"/>
        <v>-0.10000000000013642</v>
      </c>
      <c r="O394">
        <v>-418.09923333333353</v>
      </c>
      <c r="P394">
        <f t="shared" si="76"/>
        <v>130.71238248454077</v>
      </c>
    </row>
    <row r="395" spans="1:23">
      <c r="A395" s="1">
        <v>394</v>
      </c>
      <c r="B395">
        <v>1996.8</v>
      </c>
      <c r="C395">
        <f t="shared" si="74"/>
        <v>2213.4146000000001</v>
      </c>
      <c r="D395">
        <f t="shared" si="70"/>
        <v>0.76953125</v>
      </c>
      <c r="E395">
        <f t="shared" si="71"/>
        <v>1762.3870358873894</v>
      </c>
      <c r="F395">
        <f t="shared" si="72"/>
        <v>-216.61460000000011</v>
      </c>
      <c r="G395" t="s">
        <v>400</v>
      </c>
      <c r="H395">
        <v>163.41796666666673</v>
      </c>
      <c r="I395">
        <f t="shared" si="69"/>
        <v>-380.03256666666687</v>
      </c>
      <c r="J395">
        <f t="shared" si="77"/>
        <v>0.38561698717948945</v>
      </c>
      <c r="K395">
        <f t="shared" si="73"/>
        <v>-6.0999999999999091</v>
      </c>
      <c r="L395">
        <f t="shared" si="75"/>
        <v>1955.5849999999998</v>
      </c>
      <c r="M395">
        <f>AVERAGE(B395:B445)</f>
        <v>2065.676470588236</v>
      </c>
      <c r="N395">
        <f t="shared" si="78"/>
        <v>1.2699999999997544</v>
      </c>
      <c r="O395">
        <v>-389.354788888889</v>
      </c>
      <c r="P395">
        <f t="shared" si="76"/>
        <v>38.561698717948943</v>
      </c>
    </row>
    <row r="396" spans="1:23">
      <c r="A396" s="1">
        <v>395</v>
      </c>
      <c r="B396">
        <v>1990.7</v>
      </c>
      <c r="C396">
        <f t="shared" si="74"/>
        <v>2216.6655000000001</v>
      </c>
      <c r="D396">
        <f t="shared" si="70"/>
        <v>0.771484375</v>
      </c>
      <c r="E396">
        <f t="shared" si="71"/>
        <v>1271.0501167557081</v>
      </c>
      <c r="F396">
        <f t="shared" si="72"/>
        <v>-225.96550000000002</v>
      </c>
      <c r="G396" t="s">
        <v>401</v>
      </c>
      <c r="H396">
        <v>168.63373333333334</v>
      </c>
      <c r="I396">
        <f t="shared" si="69"/>
        <v>-394.59923333333336</v>
      </c>
      <c r="J396">
        <f t="shared" si="77"/>
        <v>-0.3064248756718696</v>
      </c>
      <c r="K396">
        <f t="shared" si="73"/>
        <v>-41.799999999999955</v>
      </c>
      <c r="L396">
        <f t="shared" si="75"/>
        <v>1956.6799999999998</v>
      </c>
      <c r="M396">
        <f>AVERAGE(B396:B445)</f>
        <v>2067.054000000001</v>
      </c>
      <c r="N396">
        <f t="shared" si="78"/>
        <v>1.0950000000000273</v>
      </c>
      <c r="O396">
        <v>-380.03256666666687</v>
      </c>
      <c r="P396">
        <f t="shared" si="76"/>
        <v>-30.642487567186961</v>
      </c>
    </row>
    <row r="397" spans="1:23">
      <c r="A397" s="1">
        <v>396</v>
      </c>
      <c r="B397">
        <v>1948.9</v>
      </c>
      <c r="C397">
        <f t="shared" si="74"/>
        <v>2219.9164000000001</v>
      </c>
      <c r="D397">
        <f t="shared" si="70"/>
        <v>0.7734375</v>
      </c>
      <c r="E397">
        <f t="shared" si="71"/>
        <v>1610.6641071473468</v>
      </c>
      <c r="F397">
        <f t="shared" si="72"/>
        <v>-271.01639999999998</v>
      </c>
      <c r="G397" t="s">
        <v>402</v>
      </c>
      <c r="H397">
        <v>175.06061111111109</v>
      </c>
      <c r="I397">
        <f t="shared" si="69"/>
        <v>-446.07701111111106</v>
      </c>
      <c r="J397">
        <f t="shared" si="77"/>
        <v>-2.144799630560827</v>
      </c>
      <c r="K397">
        <f t="shared" si="73"/>
        <v>-0.40000000000009095</v>
      </c>
      <c r="L397">
        <f t="shared" si="75"/>
        <v>1958.125</v>
      </c>
      <c r="M397">
        <f>AVERAGE(B397:B447)</f>
        <v>2081.5549019607847</v>
      </c>
      <c r="N397">
        <f t="shared" si="78"/>
        <v>1.4450000000001637</v>
      </c>
      <c r="O397">
        <v>-394.59923333333336</v>
      </c>
      <c r="P397">
        <f t="shared" si="76"/>
        <v>-214.47996305608271</v>
      </c>
    </row>
    <row r="398" spans="1:23">
      <c r="A398" s="1">
        <v>397</v>
      </c>
      <c r="B398">
        <v>1948.5</v>
      </c>
      <c r="C398">
        <f t="shared" si="74"/>
        <v>2223.1673000000001</v>
      </c>
      <c r="D398">
        <f t="shared" si="70"/>
        <v>0.775390625</v>
      </c>
      <c r="E398">
        <f t="shared" si="71"/>
        <v>2237.4186619352172</v>
      </c>
      <c r="F398">
        <f t="shared" si="72"/>
        <v>-274.66730000000007</v>
      </c>
      <c r="G398" t="s">
        <v>403</v>
      </c>
      <c r="H398">
        <v>175.60114444444446</v>
      </c>
      <c r="I398">
        <f t="shared" si="69"/>
        <v>-450.26844444444453</v>
      </c>
      <c r="J398">
        <f t="shared" si="77"/>
        <v>-2.0528611752634894E-2</v>
      </c>
      <c r="K398">
        <f t="shared" si="73"/>
        <v>3.0999999999999091</v>
      </c>
      <c r="L398">
        <f t="shared" si="75"/>
        <v>1958.5649999999998</v>
      </c>
      <c r="M398">
        <f>AVERAGE(B398:B447)</f>
        <v>2084.2080000000005</v>
      </c>
      <c r="N398">
        <f t="shared" si="78"/>
        <v>0.4399999999998272</v>
      </c>
      <c r="O398">
        <v>-446.07701111111106</v>
      </c>
      <c r="P398">
        <f t="shared" si="76"/>
        <v>-2.0528611752634895</v>
      </c>
      <c r="R398" s="33" t="s">
        <v>547</v>
      </c>
    </row>
    <row r="399" spans="1:23">
      <c r="A399" s="1">
        <v>398</v>
      </c>
      <c r="B399">
        <v>1951.6</v>
      </c>
      <c r="C399">
        <f t="shared" si="74"/>
        <v>2226.4182000000001</v>
      </c>
      <c r="D399">
        <f t="shared" si="70"/>
        <v>0.77734375</v>
      </c>
      <c r="E399">
        <f t="shared" si="71"/>
        <v>2615.0685836734301</v>
      </c>
      <c r="F399">
        <f t="shared" si="72"/>
        <v>-274.81820000000016</v>
      </c>
      <c r="G399" t="s">
        <v>404</v>
      </c>
      <c r="H399">
        <v>183.85024444444448</v>
      </c>
      <c r="I399">
        <f t="shared" si="69"/>
        <v>-458.66844444444462</v>
      </c>
      <c r="J399">
        <f t="shared" si="77"/>
        <v>0.15884402541503942</v>
      </c>
      <c r="K399">
        <f t="shared" si="73"/>
        <v>31.800000000000182</v>
      </c>
      <c r="L399">
        <f t="shared" si="75"/>
        <v>1961.3799999999999</v>
      </c>
      <c r="M399">
        <f>AVERAGE(B399:B449)</f>
        <v>2097.6078431372553</v>
      </c>
      <c r="N399">
        <f t="shared" si="78"/>
        <v>2.8150000000000546</v>
      </c>
      <c r="O399">
        <v>-450.26844444444453</v>
      </c>
      <c r="P399">
        <f t="shared" si="76"/>
        <v>15.884402541503942</v>
      </c>
    </row>
    <row r="400" spans="1:23">
      <c r="A400" s="1">
        <v>399</v>
      </c>
      <c r="B400">
        <v>1983.4</v>
      </c>
      <c r="C400">
        <f t="shared" si="74"/>
        <v>2229.6691000000001</v>
      </c>
      <c r="D400">
        <f t="shared" si="70"/>
        <v>0.779296875</v>
      </c>
      <c r="E400">
        <f t="shared" si="71"/>
        <v>2110.627745398554</v>
      </c>
      <c r="F400">
        <f t="shared" si="72"/>
        <v>-246.26909999999998</v>
      </c>
      <c r="G400" t="s">
        <v>405</v>
      </c>
      <c r="H400">
        <v>187.5549</v>
      </c>
      <c r="I400">
        <f t="shared" si="69"/>
        <v>-433.82399999999996</v>
      </c>
      <c r="J400">
        <f t="shared" si="77"/>
        <v>1.6033074518503672</v>
      </c>
      <c r="K400">
        <f t="shared" si="73"/>
        <v>2.3999999999998636</v>
      </c>
      <c r="L400">
        <f t="shared" si="75"/>
        <v>1964.9749999999999</v>
      </c>
      <c r="M400">
        <f>AVERAGE(B400:B449)</f>
        <v>2100.5280000000002</v>
      </c>
      <c r="N400">
        <f t="shared" si="78"/>
        <v>3.5950000000000273</v>
      </c>
      <c r="O400">
        <v>-458.66844444444462</v>
      </c>
      <c r="P400">
        <f t="shared" si="76"/>
        <v>160.3307451850367</v>
      </c>
    </row>
    <row r="401" spans="1:34" ht="57">
      <c r="A401" s="1">
        <v>400</v>
      </c>
      <c r="B401">
        <v>1985.8</v>
      </c>
      <c r="C401">
        <f t="shared" si="74"/>
        <v>2232.92</v>
      </c>
      <c r="D401">
        <f t="shared" si="70"/>
        <v>0.78125</v>
      </c>
      <c r="E401">
        <f t="shared" si="71"/>
        <v>2171.2337425428809</v>
      </c>
      <c r="F401">
        <f t="shared" si="72"/>
        <v>-247.12000000000012</v>
      </c>
      <c r="G401" t="s">
        <v>406</v>
      </c>
      <c r="H401">
        <v>181.60400000000004</v>
      </c>
      <c r="I401">
        <f t="shared" si="69"/>
        <v>-428.72400000000016</v>
      </c>
      <c r="J401">
        <f t="shared" si="77"/>
        <v>0.12085809245643386</v>
      </c>
      <c r="K401">
        <f t="shared" si="73"/>
        <v>14.100000000000136</v>
      </c>
      <c r="L401">
        <f t="shared" si="75"/>
        <v>1971.2649999999999</v>
      </c>
      <c r="M401">
        <f>AVERAGE(B401:B451)</f>
        <v>2113.1137254901964</v>
      </c>
      <c r="N401">
        <f t="shared" si="78"/>
        <v>6.2899999999999636</v>
      </c>
      <c r="O401">
        <v>-433.82399999999996</v>
      </c>
      <c r="P401">
        <f t="shared" si="76"/>
        <v>12.085809245643386</v>
      </c>
      <c r="R401" s="30" t="s">
        <v>631</v>
      </c>
      <c r="S401" s="30" t="s">
        <v>591</v>
      </c>
      <c r="T401" s="30" t="s">
        <v>592</v>
      </c>
      <c r="U401" s="31" t="s">
        <v>630</v>
      </c>
      <c r="V401" s="31" t="s">
        <v>593</v>
      </c>
      <c r="W401" s="31" t="s">
        <v>594</v>
      </c>
      <c r="X401" s="31" t="s">
        <v>595</v>
      </c>
      <c r="Y401" s="31" t="s">
        <v>598</v>
      </c>
      <c r="Z401" s="31" t="s">
        <v>599</v>
      </c>
      <c r="AA401" s="31" t="s">
        <v>600</v>
      </c>
      <c r="AB401" s="31" t="s">
        <v>601</v>
      </c>
      <c r="AC401" s="31" t="s">
        <v>643</v>
      </c>
      <c r="AD401" s="31" t="s">
        <v>644</v>
      </c>
      <c r="AE401" s="25"/>
      <c r="AF401" s="25"/>
    </row>
    <row r="402" spans="1:34">
      <c r="A402" s="1">
        <v>401</v>
      </c>
      <c r="B402">
        <v>1999.9</v>
      </c>
      <c r="C402">
        <f t="shared" si="74"/>
        <v>2236.1709000000001</v>
      </c>
      <c r="D402">
        <f t="shared" si="70"/>
        <v>0.783203125</v>
      </c>
      <c r="E402">
        <f t="shared" si="71"/>
        <v>1260.610951013374</v>
      </c>
      <c r="F402">
        <f t="shared" si="72"/>
        <v>-236.27089999999998</v>
      </c>
      <c r="G402" t="s">
        <v>407</v>
      </c>
      <c r="H402">
        <v>174.28643333333338</v>
      </c>
      <c r="I402">
        <f t="shared" si="69"/>
        <v>-410.55733333333336</v>
      </c>
      <c r="J402">
        <f t="shared" si="77"/>
        <v>0.70503525176259496</v>
      </c>
      <c r="K402">
        <f t="shared" si="73"/>
        <v>-23.800000000000182</v>
      </c>
      <c r="L402">
        <f t="shared" si="75"/>
        <v>1973.67</v>
      </c>
      <c r="M402">
        <f>AVERAGE(B402:B451)</f>
        <v>2115.6600000000003</v>
      </c>
      <c r="N402">
        <f t="shared" si="78"/>
        <v>2.4050000000002001</v>
      </c>
      <c r="O402">
        <v>-428.72400000000016</v>
      </c>
      <c r="P402">
        <f t="shared" si="76"/>
        <v>70.503525176259501</v>
      </c>
      <c r="R402" s="36">
        <v>45550</v>
      </c>
      <c r="S402">
        <v>2708.7</v>
      </c>
      <c r="T402">
        <v>2638.6</v>
      </c>
      <c r="U402" cm="1">
        <f t="array" ref="U402:U431">B463:B492</f>
        <v>2599.1</v>
      </c>
      <c r="V402">
        <f>ABS(S402-T402)</f>
        <v>70.099999999999909</v>
      </c>
      <c r="W402">
        <f>ABS(S402-U402)</f>
        <v>109.59999999999991</v>
      </c>
      <c r="X402">
        <f>ABS(T402-U402)</f>
        <v>39.5</v>
      </c>
      <c r="Y402">
        <f>MAX(V402,W402,X402)</f>
        <v>109.59999999999991</v>
      </c>
      <c r="Z402">
        <f>AVERAGE(Y402:Y431)</f>
        <v>120.60666666666664</v>
      </c>
      <c r="AA402">
        <f>_xlfn.STDEV.P(U402:U451)</f>
        <v>307.56490244500418</v>
      </c>
      <c r="AB402">
        <f>AVERAGE(U402:U451)</f>
        <v>3004.9719999999998</v>
      </c>
      <c r="AC402">
        <f>(AA402/AB402)*100</f>
        <v>10.235200276242315</v>
      </c>
      <c r="AD402">
        <f>(Z402/AB402)*100</f>
        <v>4.0135703982155793</v>
      </c>
    </row>
    <row r="403" spans="1:34">
      <c r="A403" s="1">
        <v>402</v>
      </c>
      <c r="B403">
        <v>1976.1</v>
      </c>
      <c r="C403">
        <f t="shared" si="74"/>
        <v>2239.4218000000001</v>
      </c>
      <c r="D403">
        <f t="shared" si="70"/>
        <v>0.78515625</v>
      </c>
      <c r="E403">
        <f t="shared" si="71"/>
        <v>1859.2395901428958</v>
      </c>
      <c r="F403">
        <f t="shared" si="72"/>
        <v>-263.32180000000017</v>
      </c>
      <c r="G403" t="s">
        <v>408</v>
      </c>
      <c r="H403">
        <v>168.29108888888885</v>
      </c>
      <c r="I403">
        <f t="shared" si="69"/>
        <v>-431.61288888888902</v>
      </c>
      <c r="J403">
        <f t="shared" si="77"/>
        <v>-1.2043924902585994</v>
      </c>
      <c r="K403">
        <f t="shared" si="73"/>
        <v>-29.5</v>
      </c>
      <c r="L403">
        <f t="shared" si="75"/>
        <v>1976.4349999999999</v>
      </c>
      <c r="M403">
        <f>AVERAGE(B403:B453)</f>
        <v>2128.7588235294124</v>
      </c>
      <c r="N403">
        <f t="shared" si="78"/>
        <v>2.7649999999998727</v>
      </c>
      <c r="O403">
        <v>-410.55733333333336</v>
      </c>
      <c r="P403">
        <f t="shared" si="76"/>
        <v>-120.43924902585994</v>
      </c>
      <c r="R403" s="36">
        <v>45557</v>
      </c>
      <c r="S403">
        <v>2694.7</v>
      </c>
      <c r="T403">
        <v>2646.2</v>
      </c>
      <c r="U403">
        <v>2634.6</v>
      </c>
      <c r="V403">
        <f t="shared" ref="V403:V431" si="79">ABS(S403-T403)</f>
        <v>48.5</v>
      </c>
      <c r="W403">
        <f>ABS(S403-U403)</f>
        <v>60.099999999999909</v>
      </c>
      <c r="X403">
        <f t="shared" ref="X403:X404" si="80">ABS(T403-U403)</f>
        <v>11.599999999999909</v>
      </c>
      <c r="Y403">
        <f t="shared" ref="Y403:Y431" si="81">MAX(V403,W403,X403)</f>
        <v>60.099999999999909</v>
      </c>
    </row>
    <row r="404" spans="1:34">
      <c r="A404" s="1">
        <v>403</v>
      </c>
      <c r="B404">
        <v>1946.6</v>
      </c>
      <c r="C404">
        <f t="shared" si="74"/>
        <v>2242.6727000000001</v>
      </c>
      <c r="D404">
        <f t="shared" si="70"/>
        <v>0.787109375</v>
      </c>
      <c r="E404">
        <f t="shared" si="71"/>
        <v>1955.0761469870513</v>
      </c>
      <c r="F404">
        <f t="shared" si="72"/>
        <v>-296.07270000000017</v>
      </c>
      <c r="G404" t="s">
        <v>409</v>
      </c>
      <c r="H404">
        <v>163.41796666666673</v>
      </c>
      <c r="I404">
        <f t="shared" si="69"/>
        <v>-459.49066666666693</v>
      </c>
      <c r="J404">
        <f t="shared" si="77"/>
        <v>-1.5154628583170657</v>
      </c>
      <c r="K404">
        <f t="shared" si="73"/>
        <v>-30.099999999999909</v>
      </c>
      <c r="L404">
        <f t="shared" si="75"/>
        <v>1982.0700000000002</v>
      </c>
      <c r="M404">
        <f>AVERAGE(B404:B453)</f>
        <v>2131.8120000000004</v>
      </c>
      <c r="N404">
        <f t="shared" si="78"/>
        <v>5.6350000000002183</v>
      </c>
      <c r="O404">
        <v>-431.61288888888902</v>
      </c>
      <c r="P404">
        <f t="shared" si="76"/>
        <v>-151.54628583170657</v>
      </c>
      <c r="R404" s="36">
        <v>45564</v>
      </c>
      <c r="S404">
        <v>2679.2</v>
      </c>
      <c r="T404">
        <v>2618.8000000000002</v>
      </c>
      <c r="U404">
        <v>2668.1</v>
      </c>
      <c r="V404">
        <f t="shared" si="79"/>
        <v>60.399999999999636</v>
      </c>
      <c r="W404">
        <f>ABS(S404-U404)</f>
        <v>11.099999999999909</v>
      </c>
      <c r="X404">
        <f t="shared" si="80"/>
        <v>49.299999999999727</v>
      </c>
      <c r="Y404">
        <f t="shared" si="81"/>
        <v>60.399999999999636</v>
      </c>
      <c r="AA404" s="32" t="s">
        <v>693</v>
      </c>
      <c r="AB404" s="32"/>
      <c r="AC404" s="32"/>
      <c r="AD404" s="32"/>
      <c r="AE404" s="32"/>
      <c r="AF404" s="32"/>
      <c r="AG404" s="32"/>
      <c r="AH404" s="32"/>
    </row>
    <row r="405" spans="1:34">
      <c r="A405" s="1">
        <v>404</v>
      </c>
      <c r="B405">
        <v>1916.5</v>
      </c>
      <c r="C405">
        <f t="shared" si="74"/>
        <v>2245.9236000000001</v>
      </c>
      <c r="D405">
        <f t="shared" si="70"/>
        <v>0.7890625</v>
      </c>
      <c r="E405">
        <f t="shared" si="71"/>
        <v>2977.436506607331</v>
      </c>
      <c r="F405">
        <f t="shared" si="72"/>
        <v>-329.42360000000008</v>
      </c>
      <c r="G405" t="s">
        <v>410</v>
      </c>
      <c r="H405">
        <v>168.63373333333334</v>
      </c>
      <c r="I405">
        <f t="shared" si="69"/>
        <v>-498.05733333333342</v>
      </c>
      <c r="J405">
        <f t="shared" si="77"/>
        <v>-1.5705713540307804</v>
      </c>
      <c r="K405">
        <f t="shared" si="73"/>
        <v>23.400000000000091</v>
      </c>
      <c r="L405">
        <f t="shared" si="75"/>
        <v>1989.33</v>
      </c>
      <c r="M405">
        <f>AVERAGE(B405:B455)</f>
        <v>2147.2843137254904</v>
      </c>
      <c r="N405">
        <f t="shared" si="78"/>
        <v>7.2599999999997635</v>
      </c>
      <c r="O405">
        <v>-459.49066666666693</v>
      </c>
      <c r="P405">
        <f t="shared" si="76"/>
        <v>-157.05713540307804</v>
      </c>
      <c r="R405" s="36">
        <v>45571</v>
      </c>
      <c r="S405">
        <v>2737.8</v>
      </c>
      <c r="T405">
        <v>2654.4</v>
      </c>
      <c r="U405">
        <v>2667.8</v>
      </c>
      <c r="V405">
        <f t="shared" si="79"/>
        <v>83.400000000000091</v>
      </c>
      <c r="W405">
        <f t="shared" ref="W405:W431" si="82">ABS(S405-U405)</f>
        <v>70</v>
      </c>
      <c r="X405">
        <f>ABS(T405-U405)</f>
        <v>13.400000000000091</v>
      </c>
      <c r="Y405">
        <f t="shared" si="81"/>
        <v>83.400000000000091</v>
      </c>
    </row>
    <row r="406" spans="1:34">
      <c r="A406" s="1">
        <v>405</v>
      </c>
      <c r="B406">
        <v>1939.9</v>
      </c>
      <c r="C406">
        <f t="shared" si="74"/>
        <v>2249.1745000000001</v>
      </c>
      <c r="D406">
        <f t="shared" si="70"/>
        <v>0.791015625</v>
      </c>
      <c r="E406">
        <f t="shared" si="71"/>
        <v>1677.6827979909474</v>
      </c>
      <c r="F406">
        <f t="shared" si="72"/>
        <v>-309.27449999999999</v>
      </c>
      <c r="G406" t="s">
        <v>411</v>
      </c>
      <c r="H406">
        <v>175.06061111111109</v>
      </c>
      <c r="I406">
        <f t="shared" si="69"/>
        <v>-484.33511111111108</v>
      </c>
      <c r="J406">
        <f t="shared" si="77"/>
        <v>1.2062477447291144</v>
      </c>
      <c r="K406">
        <f t="shared" si="73"/>
        <v>27.199999999999818</v>
      </c>
      <c r="L406">
        <f t="shared" si="75"/>
        <v>1997.0950000000005</v>
      </c>
      <c r="M406">
        <f>AVERAGE(B406:B455)</f>
        <v>2151.9</v>
      </c>
      <c r="N406">
        <f t="shared" si="78"/>
        <v>7.7650000000005548</v>
      </c>
      <c r="O406">
        <v>-498.05733333333342</v>
      </c>
      <c r="P406">
        <f t="shared" si="76"/>
        <v>120.62477447291144</v>
      </c>
      <c r="R406" s="36">
        <v>45578</v>
      </c>
      <c r="S406">
        <v>2758.5</v>
      </c>
      <c r="T406">
        <v>2709.9</v>
      </c>
      <c r="U406">
        <v>2676.3</v>
      </c>
      <c r="V406">
        <f t="shared" si="79"/>
        <v>48.599999999999909</v>
      </c>
      <c r="W406">
        <f t="shared" si="82"/>
        <v>82.199999999999818</v>
      </c>
      <c r="X406">
        <f t="shared" ref="X406:X431" si="83">ABS(T406-U406)</f>
        <v>33.599999999999909</v>
      </c>
      <c r="Y406">
        <f t="shared" si="81"/>
        <v>82.199999999999818</v>
      </c>
      <c r="AA406" s="32" t="s">
        <v>684</v>
      </c>
      <c r="AB406" s="32"/>
      <c r="AC406" s="32"/>
      <c r="AD406" s="32"/>
      <c r="AE406" s="32"/>
      <c r="AF406" s="32"/>
    </row>
    <row r="407" spans="1:34">
      <c r="A407" s="1">
        <v>406</v>
      </c>
      <c r="B407">
        <v>1967.1</v>
      </c>
      <c r="C407">
        <f t="shared" si="74"/>
        <v>2252.4254000000001</v>
      </c>
      <c r="D407">
        <f t="shared" si="70"/>
        <v>0.79296875</v>
      </c>
      <c r="E407">
        <f t="shared" si="71"/>
        <v>2861.8368095774554</v>
      </c>
      <c r="F407">
        <f t="shared" si="72"/>
        <v>-285.32540000000017</v>
      </c>
      <c r="G407" t="s">
        <v>412</v>
      </c>
      <c r="H407">
        <v>175.60114444444446</v>
      </c>
      <c r="I407">
        <f t="shared" si="69"/>
        <v>-460.92654444444463</v>
      </c>
      <c r="J407">
        <f t="shared" si="77"/>
        <v>1.3827461745716954</v>
      </c>
      <c r="K407">
        <f t="shared" si="73"/>
        <v>-24.399999999999864</v>
      </c>
      <c r="L407">
        <f t="shared" si="75"/>
        <v>2002.5900000000006</v>
      </c>
      <c r="M407">
        <f>AVERAGE(B407:B457)</f>
        <v>2167.2431372549022</v>
      </c>
      <c r="N407">
        <f t="shared" si="78"/>
        <v>5.4950000000001182</v>
      </c>
      <c r="O407">
        <v>-484.33511111111108</v>
      </c>
      <c r="P407">
        <f t="shared" si="76"/>
        <v>138.27461745716954</v>
      </c>
      <c r="R407" s="36">
        <v>45585</v>
      </c>
      <c r="S407">
        <v>2801.8</v>
      </c>
      <c r="T407">
        <v>2725.8</v>
      </c>
      <c r="U407">
        <v>2730</v>
      </c>
      <c r="V407">
        <f t="shared" si="79"/>
        <v>76</v>
      </c>
      <c r="W407">
        <f t="shared" si="82"/>
        <v>71.800000000000182</v>
      </c>
      <c r="X407">
        <f t="shared" si="83"/>
        <v>4.1999999999998181</v>
      </c>
      <c r="Y407">
        <f t="shared" si="81"/>
        <v>76</v>
      </c>
    </row>
    <row r="408" spans="1:34">
      <c r="A408" s="1">
        <v>407</v>
      </c>
      <c r="B408">
        <v>1942.7</v>
      </c>
      <c r="C408">
        <f t="shared" si="74"/>
        <v>2255.6763000000001</v>
      </c>
      <c r="D408">
        <f t="shared" si="70"/>
        <v>0.794921875</v>
      </c>
      <c r="E408">
        <f t="shared" si="71"/>
        <v>2534.6313383719194</v>
      </c>
      <c r="F408">
        <f t="shared" si="72"/>
        <v>-312.97630000000004</v>
      </c>
      <c r="G408" t="s">
        <v>413</v>
      </c>
      <c r="H408">
        <v>183.85024444444448</v>
      </c>
      <c r="I408">
        <f t="shared" si="69"/>
        <v>-496.82654444444449</v>
      </c>
      <c r="J408">
        <f t="shared" si="77"/>
        <v>-1.255983939877483</v>
      </c>
      <c r="K408">
        <f t="shared" si="73"/>
        <v>3.5</v>
      </c>
      <c r="L408">
        <f t="shared" si="75"/>
        <v>2007.7200000000005</v>
      </c>
      <c r="M408">
        <f>AVERAGE(B408:B457)</f>
        <v>2171.2460000000005</v>
      </c>
      <c r="N408">
        <f t="shared" si="78"/>
        <v>5.1299999999998818</v>
      </c>
      <c r="O408">
        <v>-460.92654444444463</v>
      </c>
      <c r="P408">
        <f t="shared" si="76"/>
        <v>-125.5983939877483</v>
      </c>
      <c r="R408" s="36">
        <v>45592</v>
      </c>
      <c r="S408">
        <v>2770.6</v>
      </c>
      <c r="T408">
        <v>2669.9</v>
      </c>
      <c r="U408">
        <v>2742.2</v>
      </c>
      <c r="V408">
        <f t="shared" si="79"/>
        <v>100.69999999999982</v>
      </c>
      <c r="W408">
        <f t="shared" si="82"/>
        <v>28.400000000000091</v>
      </c>
      <c r="X408">
        <f t="shared" si="83"/>
        <v>72.299999999999727</v>
      </c>
      <c r="Y408">
        <f t="shared" si="81"/>
        <v>100.69999999999982</v>
      </c>
    </row>
    <row r="409" spans="1:34">
      <c r="A409" s="1">
        <v>408</v>
      </c>
      <c r="B409">
        <v>1946.2</v>
      </c>
      <c r="C409">
        <f t="shared" si="74"/>
        <v>2258.9272000000001</v>
      </c>
      <c r="D409">
        <f t="shared" si="70"/>
        <v>0.796875</v>
      </c>
      <c r="E409">
        <f t="shared" si="71"/>
        <v>1988.7237954416792</v>
      </c>
      <c r="F409">
        <f t="shared" si="72"/>
        <v>-312.72720000000004</v>
      </c>
      <c r="G409" t="s">
        <v>414</v>
      </c>
      <c r="H409">
        <v>187.5549</v>
      </c>
      <c r="I409">
        <f t="shared" si="69"/>
        <v>-500.28210000000001</v>
      </c>
      <c r="J409">
        <f t="shared" si="77"/>
        <v>0.1798376323091152</v>
      </c>
      <c r="K409">
        <f t="shared" si="73"/>
        <v>-0.60000000000013642</v>
      </c>
      <c r="L409">
        <f t="shared" si="75"/>
        <v>2014.1550000000002</v>
      </c>
      <c r="M409">
        <f>AVERAGE(B409:B459)</f>
        <v>2188.8392156862747</v>
      </c>
      <c r="N409">
        <f t="shared" si="78"/>
        <v>6.4349999999997181</v>
      </c>
      <c r="O409">
        <v>-496.82654444444449</v>
      </c>
      <c r="P409">
        <f t="shared" si="76"/>
        <v>17.983763230911521</v>
      </c>
      <c r="R409" s="36">
        <v>45599</v>
      </c>
      <c r="S409">
        <v>2705.3</v>
      </c>
      <c r="T409">
        <v>2560.8000000000002</v>
      </c>
      <c r="U409">
        <v>2749.2</v>
      </c>
      <c r="V409">
        <f t="shared" si="79"/>
        <v>144.5</v>
      </c>
      <c r="W409">
        <f t="shared" si="82"/>
        <v>43.899999999999636</v>
      </c>
      <c r="X409">
        <f t="shared" si="83"/>
        <v>188.39999999999964</v>
      </c>
      <c r="Y409">
        <f t="shared" si="81"/>
        <v>188.39999999999964</v>
      </c>
    </row>
    <row r="410" spans="1:34">
      <c r="A410" s="1">
        <v>409</v>
      </c>
      <c r="B410">
        <v>1945.6</v>
      </c>
      <c r="C410">
        <f t="shared" si="74"/>
        <v>2262.1781000000001</v>
      </c>
      <c r="D410">
        <f t="shared" si="70"/>
        <v>0.798828125</v>
      </c>
      <c r="E410">
        <f t="shared" si="71"/>
        <v>1341.0434658160475</v>
      </c>
      <c r="F410">
        <f t="shared" si="72"/>
        <v>-316.57810000000018</v>
      </c>
      <c r="G410" t="s">
        <v>415</v>
      </c>
      <c r="H410">
        <v>181.60400000000004</v>
      </c>
      <c r="I410">
        <f t="shared" si="69"/>
        <v>-498.18210000000022</v>
      </c>
      <c r="J410">
        <f t="shared" si="77"/>
        <v>-3.0838815789480698E-2</v>
      </c>
      <c r="K410">
        <f t="shared" si="73"/>
        <v>-60.199999999999818</v>
      </c>
      <c r="L410">
        <f t="shared" si="75"/>
        <v>2019.2750000000001</v>
      </c>
      <c r="M410">
        <f>AVERAGE(B410:B459)</f>
        <v>2193.692</v>
      </c>
      <c r="N410">
        <f t="shared" si="78"/>
        <v>5.1199999999998909</v>
      </c>
      <c r="O410">
        <v>-500.28210000000001</v>
      </c>
      <c r="P410">
        <f t="shared" si="76"/>
        <v>-3.0838815789480698</v>
      </c>
      <c r="R410" s="36">
        <v>45606</v>
      </c>
      <c r="S410">
        <v>2728.3</v>
      </c>
      <c r="T410">
        <v>2581.6</v>
      </c>
      <c r="U410">
        <v>2707.2</v>
      </c>
      <c r="V410">
        <f t="shared" si="79"/>
        <v>146.70000000000027</v>
      </c>
      <c r="W410">
        <f t="shared" si="82"/>
        <v>21.100000000000364</v>
      </c>
      <c r="X410">
        <f t="shared" si="83"/>
        <v>125.59999999999991</v>
      </c>
      <c r="Y410">
        <f t="shared" si="81"/>
        <v>146.70000000000027</v>
      </c>
    </row>
    <row r="411" spans="1:34">
      <c r="A411" s="1">
        <v>410</v>
      </c>
      <c r="B411">
        <v>1885.4</v>
      </c>
      <c r="C411">
        <f t="shared" si="74"/>
        <v>2265.4290000000001</v>
      </c>
      <c r="D411">
        <f t="shared" si="70"/>
        <v>0.80078125</v>
      </c>
      <c r="E411">
        <f t="shared" si="71"/>
        <v>1140.5713513246242</v>
      </c>
      <c r="F411">
        <f t="shared" si="72"/>
        <v>-380.029</v>
      </c>
      <c r="G411" t="s">
        <v>416</v>
      </c>
      <c r="H411">
        <v>174.28643333333338</v>
      </c>
      <c r="I411">
        <f t="shared" si="69"/>
        <v>-554.31543333333343</v>
      </c>
      <c r="J411">
        <f t="shared" si="77"/>
        <v>-3.1929564018245364</v>
      </c>
      <c r="K411">
        <f t="shared" si="73"/>
        <v>-21</v>
      </c>
      <c r="L411">
        <f t="shared" si="75"/>
        <v>2023.8</v>
      </c>
      <c r="M411">
        <f>AVERAGE(B411:B461)</f>
        <v>2212.0176470588235</v>
      </c>
      <c r="N411">
        <f t="shared" si="78"/>
        <v>4.5249999999998636</v>
      </c>
      <c r="O411">
        <v>-498.18210000000022</v>
      </c>
      <c r="P411">
        <f t="shared" si="76"/>
        <v>-319.29564018245367</v>
      </c>
      <c r="R411" s="36">
        <v>45613</v>
      </c>
      <c r="S411">
        <v>2735.5</v>
      </c>
      <c r="T411">
        <v>2618.5</v>
      </c>
      <c r="U411">
        <v>2582.1</v>
      </c>
      <c r="V411">
        <f t="shared" si="79"/>
        <v>117</v>
      </c>
      <c r="W411">
        <f t="shared" si="82"/>
        <v>153.40000000000009</v>
      </c>
      <c r="X411">
        <f t="shared" si="83"/>
        <v>36.400000000000091</v>
      </c>
      <c r="Y411">
        <f t="shared" si="81"/>
        <v>153.40000000000009</v>
      </c>
    </row>
    <row r="412" spans="1:34">
      <c r="A412" s="1">
        <v>411</v>
      </c>
      <c r="B412">
        <v>1864.4</v>
      </c>
      <c r="C412">
        <f t="shared" si="74"/>
        <v>2268.6799000000001</v>
      </c>
      <c r="D412">
        <f t="shared" si="70"/>
        <v>0.802734375</v>
      </c>
      <c r="E412">
        <f t="shared" si="71"/>
        <v>915.85718342238181</v>
      </c>
      <c r="F412">
        <f t="shared" si="72"/>
        <v>-404.2799</v>
      </c>
      <c r="G412" t="s">
        <v>417</v>
      </c>
      <c r="H412">
        <v>168.29108888888885</v>
      </c>
      <c r="I412">
        <f t="shared" si="69"/>
        <v>-572.57098888888891</v>
      </c>
      <c r="J412">
        <f t="shared" si="77"/>
        <v>-1.126367732246299</v>
      </c>
      <c r="K412">
        <f t="shared" si="73"/>
        <v>96.699999999999818</v>
      </c>
      <c r="L412">
        <f t="shared" si="75"/>
        <v>2033.2</v>
      </c>
      <c r="M412">
        <f>AVERAGE(B412:B461)</f>
        <v>2218.5500000000002</v>
      </c>
      <c r="N412">
        <f t="shared" si="78"/>
        <v>9.4000000000000909</v>
      </c>
      <c r="O412">
        <v>-554.31543333333343</v>
      </c>
      <c r="P412">
        <f t="shared" si="76"/>
        <v>-112.63677322462991</v>
      </c>
      <c r="R412" s="36">
        <v>45620</v>
      </c>
      <c r="S412">
        <v>2682</v>
      </c>
      <c r="T412">
        <v>2635.6</v>
      </c>
      <c r="U412">
        <v>2724.9</v>
      </c>
      <c r="V412">
        <f t="shared" si="79"/>
        <v>46.400000000000091</v>
      </c>
      <c r="W412">
        <f t="shared" si="82"/>
        <v>42.900000000000091</v>
      </c>
      <c r="X412">
        <f t="shared" si="83"/>
        <v>89.300000000000182</v>
      </c>
      <c r="Y412">
        <f t="shared" si="81"/>
        <v>89.300000000000182</v>
      </c>
    </row>
    <row r="413" spans="1:34">
      <c r="A413" s="1">
        <v>412</v>
      </c>
      <c r="B413">
        <v>1961.1</v>
      </c>
      <c r="C413">
        <f t="shared" si="74"/>
        <v>2271.9308000000001</v>
      </c>
      <c r="D413">
        <f t="shared" si="70"/>
        <v>0.8046875</v>
      </c>
      <c r="E413">
        <f t="shared" si="71"/>
        <v>1916.3318256840371</v>
      </c>
      <c r="F413">
        <f t="shared" si="72"/>
        <v>-310.83080000000018</v>
      </c>
      <c r="G413" t="s">
        <v>418</v>
      </c>
      <c r="H413">
        <v>163.41796666666673</v>
      </c>
      <c r="I413">
        <f t="shared" si="69"/>
        <v>-474.24876666666694</v>
      </c>
      <c r="J413">
        <f t="shared" si="77"/>
        <v>4.9309061241140091</v>
      </c>
      <c r="K413">
        <f t="shared" si="73"/>
        <v>53.400000000000091</v>
      </c>
      <c r="L413">
        <f t="shared" si="75"/>
        <v>2042.9099999999999</v>
      </c>
      <c r="M413">
        <f>AVERAGE(B413:B463)</f>
        <v>2238.7333333333336</v>
      </c>
      <c r="N413">
        <f t="shared" si="78"/>
        <v>9.709999999999809</v>
      </c>
      <c r="O413">
        <v>-572.57098888888891</v>
      </c>
      <c r="P413">
        <f t="shared" si="76"/>
        <v>493.09061241140091</v>
      </c>
      <c r="R413" s="36">
        <v>45627</v>
      </c>
      <c r="S413">
        <v>2743.8</v>
      </c>
      <c r="T413">
        <v>2637.5</v>
      </c>
      <c r="U413">
        <v>2681</v>
      </c>
      <c r="V413">
        <f t="shared" si="79"/>
        <v>106.30000000000018</v>
      </c>
      <c r="W413">
        <f t="shared" si="82"/>
        <v>62.800000000000182</v>
      </c>
      <c r="X413">
        <f t="shared" si="83"/>
        <v>43.5</v>
      </c>
      <c r="Y413">
        <f t="shared" si="81"/>
        <v>106.30000000000018</v>
      </c>
    </row>
    <row r="414" spans="1:34">
      <c r="A414" s="1">
        <v>413</v>
      </c>
      <c r="B414">
        <v>2014.5</v>
      </c>
      <c r="C414">
        <f t="shared" si="74"/>
        <v>2275.1817000000001</v>
      </c>
      <c r="D414">
        <f t="shared" si="70"/>
        <v>0.806640625</v>
      </c>
      <c r="E414">
        <f t="shared" si="71"/>
        <v>2370.2727649637818</v>
      </c>
      <c r="F414">
        <f t="shared" si="72"/>
        <v>-260.68170000000009</v>
      </c>
      <c r="G414" t="s">
        <v>419</v>
      </c>
      <c r="H414">
        <v>168.63373333333334</v>
      </c>
      <c r="I414">
        <f t="shared" si="69"/>
        <v>-429.31543333333343</v>
      </c>
      <c r="J414">
        <f t="shared" si="77"/>
        <v>2.650781831720034</v>
      </c>
      <c r="K414">
        <f t="shared" si="73"/>
        <v>4.2000000000000455</v>
      </c>
      <c r="L414">
        <f t="shared" si="75"/>
        <v>2047.05</v>
      </c>
      <c r="M414">
        <f>AVERAGE(B414:B463)</f>
        <v>2244.2860000000001</v>
      </c>
      <c r="N414">
        <f t="shared" si="78"/>
        <v>4.1400000000001</v>
      </c>
      <c r="O414">
        <v>-474.24876666666694</v>
      </c>
      <c r="P414">
        <f t="shared" si="76"/>
        <v>265.07818317200338</v>
      </c>
      <c r="R414" s="36">
        <v>45634</v>
      </c>
      <c r="S414">
        <v>2669.7</v>
      </c>
      <c r="T414">
        <v>2585.9</v>
      </c>
      <c r="U414">
        <v>2659.6</v>
      </c>
      <c r="V414">
        <f t="shared" si="79"/>
        <v>83.799999999999727</v>
      </c>
      <c r="W414">
        <f t="shared" si="82"/>
        <v>10.099999999999909</v>
      </c>
      <c r="X414">
        <f t="shared" si="83"/>
        <v>73.699999999999818</v>
      </c>
      <c r="Y414">
        <f t="shared" si="81"/>
        <v>83.799999999999727</v>
      </c>
    </row>
    <row r="415" spans="1:34">
      <c r="A415" s="1">
        <v>414</v>
      </c>
      <c r="B415">
        <v>2018.7</v>
      </c>
      <c r="C415">
        <f t="shared" si="74"/>
        <v>2278.4326000000001</v>
      </c>
      <c r="D415">
        <f t="shared" si="70"/>
        <v>0.80859375</v>
      </c>
      <c r="E415">
        <f t="shared" si="71"/>
        <v>2540.1795535429596</v>
      </c>
      <c r="F415">
        <f t="shared" si="72"/>
        <v>-259.73260000000005</v>
      </c>
      <c r="G415" t="s">
        <v>420</v>
      </c>
      <c r="H415">
        <v>175.06061111111109</v>
      </c>
      <c r="I415">
        <f t="shared" si="69"/>
        <v>-434.79321111111113</v>
      </c>
      <c r="J415">
        <f t="shared" si="77"/>
        <v>0.2080546886610217</v>
      </c>
      <c r="K415">
        <f t="shared" si="73"/>
        <v>0.89999999999986358</v>
      </c>
      <c r="L415">
        <f t="shared" si="75"/>
        <v>2049.79</v>
      </c>
      <c r="M415">
        <f>AVERAGE(B415:B465)</f>
        <v>2264.7549019607845</v>
      </c>
      <c r="N415">
        <f t="shared" si="78"/>
        <v>2.7400000000000091</v>
      </c>
      <c r="O415">
        <v>-429.31543333333343</v>
      </c>
      <c r="P415">
        <f t="shared" si="76"/>
        <v>20.805468866102171</v>
      </c>
      <c r="R415" s="36">
        <v>45641</v>
      </c>
      <c r="S415">
        <v>2642.4</v>
      </c>
      <c r="T415">
        <v>2610.1999999999998</v>
      </c>
      <c r="U415">
        <v>2662.4</v>
      </c>
      <c r="V415">
        <f t="shared" si="79"/>
        <v>32.200000000000273</v>
      </c>
      <c r="W415">
        <f t="shared" si="82"/>
        <v>20</v>
      </c>
      <c r="X415">
        <f t="shared" si="83"/>
        <v>52.200000000000273</v>
      </c>
      <c r="Y415">
        <f t="shared" si="81"/>
        <v>52.200000000000273</v>
      </c>
    </row>
    <row r="416" spans="1:34">
      <c r="A416" s="1">
        <v>415</v>
      </c>
      <c r="B416">
        <v>2019.6</v>
      </c>
      <c r="C416">
        <f t="shared" si="74"/>
        <v>2281.6835000000001</v>
      </c>
      <c r="D416">
        <f t="shared" si="70"/>
        <v>0.810546875</v>
      </c>
      <c r="E416">
        <f t="shared" si="71"/>
        <v>1787.9866446810083</v>
      </c>
      <c r="F416">
        <f t="shared" si="72"/>
        <v>-262.08350000000019</v>
      </c>
      <c r="G416" t="s">
        <v>421</v>
      </c>
      <c r="H416">
        <v>175.60114444444446</v>
      </c>
      <c r="I416">
        <f t="shared" si="69"/>
        <v>-437.68464444444464</v>
      </c>
      <c r="J416">
        <f t="shared" si="77"/>
        <v>4.4563279857390753E-2</v>
      </c>
      <c r="K416">
        <f t="shared" si="73"/>
        <v>-61.899999999999864</v>
      </c>
      <c r="L416">
        <f t="shared" si="75"/>
        <v>2054.6549999999997</v>
      </c>
      <c r="M416">
        <f>AVERAGE(B416:B465)</f>
        <v>2269.6760000000004</v>
      </c>
      <c r="N416">
        <f t="shared" si="78"/>
        <v>4.8649999999997817</v>
      </c>
      <c r="O416">
        <v>-434.79321111111113</v>
      </c>
      <c r="P416">
        <f t="shared" si="76"/>
        <v>4.4563279857390752</v>
      </c>
      <c r="R416" s="36">
        <v>45648</v>
      </c>
      <c r="S416">
        <v>2681</v>
      </c>
      <c r="T416">
        <v>2608.4</v>
      </c>
      <c r="U416">
        <v>2632.5</v>
      </c>
      <c r="V416">
        <f t="shared" si="79"/>
        <v>72.599999999999909</v>
      </c>
      <c r="W416">
        <f t="shared" si="82"/>
        <v>48.5</v>
      </c>
      <c r="X416">
        <f t="shared" si="83"/>
        <v>24.099999999999909</v>
      </c>
      <c r="Y416">
        <f t="shared" si="81"/>
        <v>72.599999999999909</v>
      </c>
    </row>
    <row r="417" spans="1:25">
      <c r="A417" s="1">
        <v>416</v>
      </c>
      <c r="B417">
        <v>1957.7</v>
      </c>
      <c r="C417">
        <f t="shared" si="74"/>
        <v>2284.9344000000001</v>
      </c>
      <c r="D417">
        <f t="shared" si="70"/>
        <v>0.8125</v>
      </c>
      <c r="E417">
        <f t="shared" si="71"/>
        <v>2663.5715516168566</v>
      </c>
      <c r="F417">
        <f t="shared" si="72"/>
        <v>-327.23440000000005</v>
      </c>
      <c r="G417" t="s">
        <v>422</v>
      </c>
      <c r="H417">
        <v>183.85024444444448</v>
      </c>
      <c r="I417">
        <f t="shared" si="69"/>
        <v>-511.08464444444451</v>
      </c>
      <c r="J417">
        <f t="shared" si="77"/>
        <v>-3.1618736272156029</v>
      </c>
      <c r="K417">
        <f t="shared" si="73"/>
        <v>47.099999999999909</v>
      </c>
      <c r="L417">
        <f t="shared" si="75"/>
        <v>2063.9900000000002</v>
      </c>
      <c r="M417">
        <f>AVERAGE(B417:B467)</f>
        <v>2290.3588235294123</v>
      </c>
      <c r="N417">
        <f t="shared" si="78"/>
        <v>9.3350000000004911</v>
      </c>
      <c r="O417">
        <v>-437.68464444444464</v>
      </c>
      <c r="P417">
        <f t="shared" si="76"/>
        <v>-316.18736272156031</v>
      </c>
      <c r="R417" s="36">
        <v>45655</v>
      </c>
      <c r="S417">
        <v>2746.6</v>
      </c>
      <c r="T417">
        <v>2638.9</v>
      </c>
      <c r="U417">
        <v>2618.4</v>
      </c>
      <c r="V417">
        <f t="shared" si="79"/>
        <v>107.69999999999982</v>
      </c>
      <c r="W417">
        <f t="shared" si="82"/>
        <v>128.19999999999982</v>
      </c>
      <c r="X417">
        <f t="shared" si="83"/>
        <v>20.5</v>
      </c>
      <c r="Y417">
        <f t="shared" si="81"/>
        <v>128.19999999999982</v>
      </c>
    </row>
    <row r="418" spans="1:25">
      <c r="A418" s="1">
        <v>417</v>
      </c>
      <c r="B418">
        <v>2004.8</v>
      </c>
      <c r="C418">
        <f t="shared" si="74"/>
        <v>2288.1853000000001</v>
      </c>
      <c r="D418">
        <f t="shared" si="70"/>
        <v>0.814453125</v>
      </c>
      <c r="E418">
        <f t="shared" si="71"/>
        <v>2189.0562233031856</v>
      </c>
      <c r="F418">
        <f t="shared" si="72"/>
        <v>-283.38530000000014</v>
      </c>
      <c r="G418" t="s">
        <v>423</v>
      </c>
      <c r="H418">
        <v>187.5549</v>
      </c>
      <c r="I418">
        <f t="shared" si="69"/>
        <v>-470.94020000000012</v>
      </c>
      <c r="J418">
        <f t="shared" si="77"/>
        <v>2.3493615323224217</v>
      </c>
      <c r="K418">
        <f t="shared" si="73"/>
        <v>18.700000000000045</v>
      </c>
      <c r="L418">
        <f t="shared" si="75"/>
        <v>2075.2599999999998</v>
      </c>
      <c r="M418">
        <f>AVERAGE(B418:B467)</f>
        <v>2297.0120000000006</v>
      </c>
      <c r="N418">
        <f t="shared" si="78"/>
        <v>11.269999999999527</v>
      </c>
      <c r="O418">
        <v>-511.08464444444451</v>
      </c>
      <c r="P418">
        <f t="shared" si="76"/>
        <v>234.93615323224216</v>
      </c>
      <c r="R418" s="36">
        <v>45662</v>
      </c>
      <c r="S418">
        <v>2770</v>
      </c>
      <c r="T418">
        <v>2687.1</v>
      </c>
      <c r="U418">
        <v>2654.7</v>
      </c>
      <c r="V418">
        <f t="shared" si="79"/>
        <v>82.900000000000091</v>
      </c>
      <c r="W418">
        <f t="shared" si="82"/>
        <v>115.30000000000018</v>
      </c>
      <c r="X418">
        <f t="shared" si="83"/>
        <v>32.400000000000091</v>
      </c>
      <c r="Y418">
        <f t="shared" si="81"/>
        <v>115.30000000000018</v>
      </c>
    </row>
    <row r="419" spans="1:25">
      <c r="A419" s="1">
        <v>418</v>
      </c>
      <c r="B419">
        <v>2023.5</v>
      </c>
      <c r="C419">
        <f t="shared" si="74"/>
        <v>2291.4362000000001</v>
      </c>
      <c r="D419">
        <f t="shared" si="70"/>
        <v>0.81640625</v>
      </c>
      <c r="E419">
        <f t="shared" si="71"/>
        <v>3274.9358967539924</v>
      </c>
      <c r="F419">
        <f t="shared" si="72"/>
        <v>-267.9362000000001</v>
      </c>
      <c r="G419" t="s">
        <v>424</v>
      </c>
      <c r="H419">
        <v>181.60400000000004</v>
      </c>
      <c r="I419">
        <f t="shared" si="69"/>
        <v>-449.54020000000014</v>
      </c>
      <c r="J419">
        <f t="shared" si="77"/>
        <v>0.92414133926365438</v>
      </c>
      <c r="K419">
        <f t="shared" si="73"/>
        <v>85.699999999999818</v>
      </c>
      <c r="L419">
        <f t="shared" si="75"/>
        <v>2084.1</v>
      </c>
      <c r="M419">
        <f>AVERAGE(B419:B469)</f>
        <v>2319.960784313726</v>
      </c>
      <c r="N419">
        <f t="shared" si="78"/>
        <v>8.8400000000001455</v>
      </c>
      <c r="O419">
        <v>-470.94020000000012</v>
      </c>
      <c r="P419">
        <f t="shared" si="76"/>
        <v>92.414133926365437</v>
      </c>
      <c r="R419" s="36">
        <v>45669</v>
      </c>
      <c r="S419">
        <v>2808.1</v>
      </c>
      <c r="T419">
        <v>2730.7</v>
      </c>
      <c r="U419">
        <v>2729.5</v>
      </c>
      <c r="V419">
        <f t="shared" si="79"/>
        <v>77.400000000000091</v>
      </c>
      <c r="W419">
        <f t="shared" si="82"/>
        <v>78.599999999999909</v>
      </c>
      <c r="X419">
        <f t="shared" si="83"/>
        <v>1.1999999999998181</v>
      </c>
      <c r="Y419">
        <f t="shared" si="81"/>
        <v>78.599999999999909</v>
      </c>
    </row>
    <row r="420" spans="1:25">
      <c r="A420" s="1">
        <v>419</v>
      </c>
      <c r="B420">
        <v>2109.1999999999998</v>
      </c>
      <c r="C420">
        <f t="shared" si="74"/>
        <v>2294.6871000000001</v>
      </c>
      <c r="D420">
        <f t="shared" si="70"/>
        <v>0.818359375</v>
      </c>
      <c r="E420">
        <f t="shared" si="71"/>
        <v>2985.4324176515734</v>
      </c>
      <c r="F420">
        <f t="shared" si="72"/>
        <v>-185.48710000000028</v>
      </c>
      <c r="G420" t="s">
        <v>425</v>
      </c>
      <c r="H420">
        <v>174.28643333333338</v>
      </c>
      <c r="I420">
        <f t="shared" si="69"/>
        <v>-359.77353333333366</v>
      </c>
      <c r="J420">
        <f t="shared" si="77"/>
        <v>4.063151905935892</v>
      </c>
      <c r="K420">
        <f t="shared" si="73"/>
        <v>-75.299999999999727</v>
      </c>
      <c r="L420">
        <f t="shared" si="75"/>
        <v>2095.8450000000003</v>
      </c>
      <c r="M420">
        <f>AVERAGE(B420:B469)</f>
        <v>2325.8900000000008</v>
      </c>
      <c r="N420">
        <f t="shared" si="78"/>
        <v>11.745000000000346</v>
      </c>
      <c r="O420">
        <v>-449.54020000000014</v>
      </c>
      <c r="P420">
        <f t="shared" si="76"/>
        <v>406.31519059358919</v>
      </c>
      <c r="R420" s="36">
        <v>45676</v>
      </c>
      <c r="S420">
        <v>2862.9</v>
      </c>
      <c r="T420">
        <v>2746.8</v>
      </c>
      <c r="U420">
        <v>2761.6</v>
      </c>
      <c r="V420">
        <f t="shared" si="79"/>
        <v>116.09999999999991</v>
      </c>
      <c r="W420">
        <f t="shared" si="82"/>
        <v>101.30000000000018</v>
      </c>
      <c r="X420">
        <f t="shared" si="83"/>
        <v>14.799999999999727</v>
      </c>
      <c r="Y420">
        <f t="shared" si="81"/>
        <v>116.09999999999991</v>
      </c>
    </row>
    <row r="421" spans="1:25">
      <c r="A421" s="1">
        <v>420</v>
      </c>
      <c r="B421">
        <v>2033.9</v>
      </c>
      <c r="C421">
        <f t="shared" si="74"/>
        <v>2297.9380000000001</v>
      </c>
      <c r="D421">
        <f t="shared" si="70"/>
        <v>0.8203125</v>
      </c>
      <c r="E421">
        <f t="shared" si="71"/>
        <v>2857.4968958620693</v>
      </c>
      <c r="F421">
        <f t="shared" si="72"/>
        <v>-264.03800000000001</v>
      </c>
      <c r="G421" t="s">
        <v>426</v>
      </c>
      <c r="H421">
        <v>168.29108888888885</v>
      </c>
      <c r="I421">
        <f t="shared" si="69"/>
        <v>-432.32908888888886</v>
      </c>
      <c r="J421">
        <f t="shared" si="77"/>
        <v>-3.7022469147942245</v>
      </c>
      <c r="K421">
        <f t="shared" si="73"/>
        <v>21.299999999999727</v>
      </c>
      <c r="L421">
        <f t="shared" si="75"/>
        <v>2108.7149999999997</v>
      </c>
      <c r="M421">
        <f>AVERAGE(B421:B471)</f>
        <v>2345.9156862745099</v>
      </c>
      <c r="N421">
        <f t="shared" si="78"/>
        <v>12.869999999999436</v>
      </c>
      <c r="O421">
        <v>-359.77353333333366</v>
      </c>
      <c r="P421">
        <f t="shared" si="76"/>
        <v>-370.22469147942246</v>
      </c>
      <c r="R421" s="36">
        <v>45683</v>
      </c>
      <c r="S421">
        <v>2910.6</v>
      </c>
      <c r="T421">
        <v>2802.2</v>
      </c>
      <c r="U421">
        <v>2792.7</v>
      </c>
      <c r="V421">
        <f t="shared" si="79"/>
        <v>108.40000000000009</v>
      </c>
      <c r="W421">
        <f t="shared" si="82"/>
        <v>117.90000000000009</v>
      </c>
      <c r="X421">
        <f t="shared" si="83"/>
        <v>9.5</v>
      </c>
      <c r="Y421">
        <f t="shared" si="81"/>
        <v>117.90000000000009</v>
      </c>
    </row>
    <row r="422" spans="1:25">
      <c r="A422" s="1">
        <v>421</v>
      </c>
      <c r="B422">
        <v>2055.1999999999998</v>
      </c>
      <c r="C422">
        <f t="shared" si="74"/>
        <v>2301.1889000000001</v>
      </c>
      <c r="D422">
        <f t="shared" si="70"/>
        <v>0.822265625</v>
      </c>
      <c r="E422">
        <f t="shared" si="71"/>
        <v>2001.6346187343397</v>
      </c>
      <c r="F422">
        <f t="shared" si="72"/>
        <v>-245.98890000000029</v>
      </c>
      <c r="G422" t="s">
        <v>427</v>
      </c>
      <c r="H422">
        <v>163.41796666666673</v>
      </c>
      <c r="I422">
        <f t="shared" si="69"/>
        <v>-409.40686666666704</v>
      </c>
      <c r="J422">
        <f t="shared" si="77"/>
        <v>1.0363954846243542</v>
      </c>
      <c r="K422">
        <f t="shared" si="73"/>
        <v>33.600000000000364</v>
      </c>
      <c r="L422">
        <f t="shared" si="75"/>
        <v>2126.835</v>
      </c>
      <c r="M422">
        <f>AVERAGE(B422:B471)</f>
        <v>2352.1560000000009</v>
      </c>
      <c r="N422">
        <f t="shared" si="78"/>
        <v>18.120000000000346</v>
      </c>
      <c r="O422">
        <v>-432.32908888888886</v>
      </c>
      <c r="P422">
        <f t="shared" si="76"/>
        <v>103.63954846243541</v>
      </c>
      <c r="R422" s="36">
        <v>45690</v>
      </c>
      <c r="S422">
        <v>2955.4</v>
      </c>
      <c r="T422">
        <v>2868.5</v>
      </c>
      <c r="U422">
        <v>2835</v>
      </c>
      <c r="V422">
        <f t="shared" si="79"/>
        <v>86.900000000000091</v>
      </c>
      <c r="W422">
        <f t="shared" si="82"/>
        <v>120.40000000000009</v>
      </c>
      <c r="X422">
        <f t="shared" si="83"/>
        <v>33.5</v>
      </c>
      <c r="Y422">
        <f t="shared" si="81"/>
        <v>120.40000000000009</v>
      </c>
    </row>
    <row r="423" spans="1:25">
      <c r="A423" s="1">
        <v>422</v>
      </c>
      <c r="B423">
        <v>2088.8000000000002</v>
      </c>
      <c r="C423">
        <f t="shared" si="74"/>
        <v>2304.4398000000001</v>
      </c>
      <c r="D423">
        <f t="shared" si="70"/>
        <v>0.82421875</v>
      </c>
      <c r="E423">
        <f t="shared" si="71"/>
        <v>1917.7955212666502</v>
      </c>
      <c r="F423">
        <f t="shared" si="72"/>
        <v>-215.63979999999992</v>
      </c>
      <c r="G423" t="s">
        <v>428</v>
      </c>
      <c r="H423">
        <v>168.63373333333334</v>
      </c>
      <c r="I423">
        <f t="shared" si="69"/>
        <v>-384.27353333333326</v>
      </c>
      <c r="J423">
        <f t="shared" si="77"/>
        <v>1.6085790884718671</v>
      </c>
      <c r="K423">
        <f t="shared" si="73"/>
        <v>3</v>
      </c>
      <c r="L423">
        <f t="shared" si="75"/>
        <v>2145.88</v>
      </c>
      <c r="M423">
        <f>AVERAGE(B423:B473)</f>
        <v>2369.7960784313727</v>
      </c>
      <c r="N423">
        <f t="shared" si="78"/>
        <v>19.045000000000073</v>
      </c>
      <c r="O423">
        <v>-409.40686666666704</v>
      </c>
      <c r="P423">
        <f t="shared" si="76"/>
        <v>160.85790884718671</v>
      </c>
      <c r="R423" s="36">
        <v>45697</v>
      </c>
      <c r="S423">
        <v>2960.2</v>
      </c>
      <c r="T423">
        <v>2876.7</v>
      </c>
      <c r="U423">
        <v>2887.6</v>
      </c>
      <c r="V423">
        <f t="shared" si="79"/>
        <v>83.5</v>
      </c>
      <c r="W423">
        <f t="shared" si="82"/>
        <v>72.599999999999909</v>
      </c>
      <c r="X423">
        <f t="shared" si="83"/>
        <v>10.900000000000091</v>
      </c>
      <c r="Y423">
        <f t="shared" si="81"/>
        <v>83.5</v>
      </c>
    </row>
    <row r="424" spans="1:25">
      <c r="A424" s="1">
        <v>423</v>
      </c>
      <c r="B424">
        <v>2091.8000000000002</v>
      </c>
      <c r="C424">
        <f t="shared" si="74"/>
        <v>2307.6907000000001</v>
      </c>
      <c r="D424">
        <f t="shared" si="70"/>
        <v>0.826171875</v>
      </c>
      <c r="E424">
        <f t="shared" si="71"/>
        <v>2232.0351125767393</v>
      </c>
      <c r="F424">
        <f t="shared" si="72"/>
        <v>-215.89069999999992</v>
      </c>
      <c r="G424" t="s">
        <v>429</v>
      </c>
      <c r="H424">
        <v>175.06061111111109</v>
      </c>
      <c r="I424">
        <f t="shared" si="69"/>
        <v>-390.95131111111101</v>
      </c>
      <c r="J424">
        <f t="shared" si="77"/>
        <v>0.14341715269146188</v>
      </c>
      <c r="K424">
        <f t="shared" si="73"/>
        <v>-20</v>
      </c>
      <c r="L424">
        <f t="shared" si="75"/>
        <v>2159.9049999999997</v>
      </c>
      <c r="M424">
        <f>AVERAGE(B424:B473)</f>
        <v>2375.4160000000002</v>
      </c>
      <c r="N424">
        <f t="shared" si="78"/>
        <v>14.024999999999636</v>
      </c>
      <c r="O424">
        <v>-384.27353333333326</v>
      </c>
      <c r="P424">
        <f t="shared" si="76"/>
        <v>14.341715269146189</v>
      </c>
      <c r="R424" s="36">
        <v>45704</v>
      </c>
      <c r="S424">
        <v>2960</v>
      </c>
      <c r="T424">
        <v>2844.1</v>
      </c>
      <c r="U424">
        <v>2888.9</v>
      </c>
      <c r="V424">
        <f t="shared" si="79"/>
        <v>115.90000000000009</v>
      </c>
      <c r="W424">
        <f t="shared" si="82"/>
        <v>71.099999999999909</v>
      </c>
      <c r="X424">
        <f t="shared" si="83"/>
        <v>44.800000000000182</v>
      </c>
      <c r="Y424">
        <f t="shared" si="81"/>
        <v>115.90000000000009</v>
      </c>
    </row>
    <row r="425" spans="1:25">
      <c r="A425" s="1">
        <v>424</v>
      </c>
      <c r="B425">
        <v>2071.8000000000002</v>
      </c>
      <c r="C425">
        <f t="shared" si="74"/>
        <v>2310.9416000000001</v>
      </c>
      <c r="D425">
        <f t="shared" si="70"/>
        <v>0.828125</v>
      </c>
      <c r="E425">
        <f t="shared" si="71"/>
        <v>2959.4492945150614</v>
      </c>
      <c r="F425">
        <f t="shared" si="72"/>
        <v>-239.14159999999993</v>
      </c>
      <c r="G425" t="s">
        <v>430</v>
      </c>
      <c r="H425">
        <v>175.60114444444446</v>
      </c>
      <c r="I425">
        <f t="shared" si="69"/>
        <v>-414.74274444444438</v>
      </c>
      <c r="J425">
        <f t="shared" si="77"/>
        <v>-0.96534414518775935</v>
      </c>
      <c r="K425">
        <f t="shared" si="73"/>
        <v>-22</v>
      </c>
      <c r="L425">
        <f t="shared" si="75"/>
        <v>2171.8450000000003</v>
      </c>
      <c r="M425">
        <f>AVERAGE(B425:B475)</f>
        <v>2392.5411764705887</v>
      </c>
      <c r="N425">
        <f t="shared" si="78"/>
        <v>11.940000000000509</v>
      </c>
      <c r="O425">
        <v>-390.95131111111101</v>
      </c>
      <c r="P425">
        <f t="shared" si="76"/>
        <v>-96.534414518775932</v>
      </c>
      <c r="R425" s="36">
        <v>45711</v>
      </c>
      <c r="S425">
        <v>2969.4</v>
      </c>
      <c r="T425">
        <v>2894</v>
      </c>
      <c r="U425">
        <v>2940.5</v>
      </c>
      <c r="V425">
        <f t="shared" si="79"/>
        <v>75.400000000000091</v>
      </c>
      <c r="W425">
        <f t="shared" si="82"/>
        <v>28.900000000000091</v>
      </c>
      <c r="X425">
        <f t="shared" si="83"/>
        <v>46.5</v>
      </c>
      <c r="Y425">
        <f t="shared" si="81"/>
        <v>75.400000000000091</v>
      </c>
    </row>
    <row r="426" spans="1:25">
      <c r="A426" s="1">
        <v>425</v>
      </c>
      <c r="B426">
        <v>2049.8000000000002</v>
      </c>
      <c r="C426">
        <f t="shared" si="74"/>
        <v>2314.1925000000001</v>
      </c>
      <c r="D426">
        <f t="shared" si="70"/>
        <v>0.830078125</v>
      </c>
      <c r="E426">
        <f t="shared" si="71"/>
        <v>3142.7551800801571</v>
      </c>
      <c r="F426">
        <f t="shared" si="72"/>
        <v>-264.39249999999993</v>
      </c>
      <c r="G426" t="s">
        <v>431</v>
      </c>
      <c r="H426">
        <v>183.85024444444448</v>
      </c>
      <c r="I426">
        <f t="shared" si="69"/>
        <v>-448.24274444444438</v>
      </c>
      <c r="J426">
        <f t="shared" si="77"/>
        <v>-1.0732754415064885</v>
      </c>
      <c r="K426">
        <f t="shared" si="73"/>
        <v>19.899999999999636</v>
      </c>
      <c r="L426">
        <f t="shared" si="75"/>
        <v>2188.14</v>
      </c>
      <c r="M426">
        <f>AVERAGE(B426:B475)</f>
        <v>2398.9560000000006</v>
      </c>
      <c r="N426">
        <f t="shared" si="78"/>
        <v>16.294999999999618</v>
      </c>
      <c r="O426">
        <v>-414.74274444444438</v>
      </c>
      <c r="P426">
        <f t="shared" si="76"/>
        <v>-107.32754415064885</v>
      </c>
      <c r="R426" s="36">
        <v>45718</v>
      </c>
      <c r="S426">
        <v>3029.6</v>
      </c>
      <c r="T426">
        <v>2900</v>
      </c>
      <c r="U426">
        <v>2848.5</v>
      </c>
      <c r="V426">
        <f t="shared" si="79"/>
        <v>129.59999999999991</v>
      </c>
      <c r="W426">
        <f t="shared" si="82"/>
        <v>181.09999999999991</v>
      </c>
      <c r="X426">
        <f t="shared" si="83"/>
        <v>51.5</v>
      </c>
      <c r="Y426">
        <f t="shared" si="81"/>
        <v>181.09999999999991</v>
      </c>
    </row>
    <row r="427" spans="1:25">
      <c r="A427" s="1">
        <v>426</v>
      </c>
      <c r="B427">
        <v>2069.6999999999998</v>
      </c>
      <c r="C427">
        <f t="shared" si="74"/>
        <v>2317.4434000000001</v>
      </c>
      <c r="D427">
        <f t="shared" si="70"/>
        <v>0.83203125</v>
      </c>
      <c r="E427">
        <f t="shared" si="71"/>
        <v>2539.5408266633531</v>
      </c>
      <c r="F427">
        <f t="shared" si="72"/>
        <v>-247.74340000000029</v>
      </c>
      <c r="G427" t="s">
        <v>432</v>
      </c>
      <c r="H427">
        <v>187.5549</v>
      </c>
      <c r="I427">
        <f t="shared" si="69"/>
        <v>-435.29830000000027</v>
      </c>
      <c r="J427">
        <f t="shared" si="77"/>
        <v>0.96149200367201226</v>
      </c>
      <c r="K427">
        <f t="shared" si="73"/>
        <v>1.7000000000002728</v>
      </c>
      <c r="L427">
        <f t="shared" si="75"/>
        <v>2207.6699999999996</v>
      </c>
      <c r="M427">
        <f>AVERAGE(B427:B477)</f>
        <v>2415.5470588235294</v>
      </c>
      <c r="N427">
        <f t="shared" si="78"/>
        <v>19.529999999999745</v>
      </c>
      <c r="O427">
        <v>-448.24274444444438</v>
      </c>
      <c r="P427">
        <f t="shared" si="76"/>
        <v>96.149200367201232</v>
      </c>
      <c r="R427" s="36">
        <v>45725</v>
      </c>
      <c r="S427">
        <v>3076.6</v>
      </c>
      <c r="T427">
        <v>3004.9</v>
      </c>
      <c r="U427">
        <v>2942.9</v>
      </c>
      <c r="V427">
        <f t="shared" si="79"/>
        <v>71.699999999999818</v>
      </c>
      <c r="W427">
        <f t="shared" si="82"/>
        <v>133.69999999999982</v>
      </c>
      <c r="X427">
        <f t="shared" si="83"/>
        <v>62</v>
      </c>
      <c r="Y427">
        <f t="shared" si="81"/>
        <v>133.69999999999982</v>
      </c>
    </row>
    <row r="428" spans="1:25">
      <c r="A428" s="1">
        <v>427</v>
      </c>
      <c r="B428">
        <v>2071.4</v>
      </c>
      <c r="C428">
        <f t="shared" si="74"/>
        <v>2320.6943000000001</v>
      </c>
      <c r="D428">
        <f t="shared" si="70"/>
        <v>0.833984375</v>
      </c>
      <c r="E428">
        <f t="shared" si="71"/>
        <v>2936.7873275139564</v>
      </c>
      <c r="F428">
        <f t="shared" si="72"/>
        <v>-249.29430000000002</v>
      </c>
      <c r="G428" t="s">
        <v>433</v>
      </c>
      <c r="H428">
        <v>181.60400000000004</v>
      </c>
      <c r="I428">
        <f t="shared" si="69"/>
        <v>-430.89830000000006</v>
      </c>
      <c r="J428">
        <f t="shared" si="77"/>
        <v>8.207009751859963E-2</v>
      </c>
      <c r="K428">
        <f t="shared" si="73"/>
        <v>-22.800000000000182</v>
      </c>
      <c r="L428">
        <f t="shared" si="75"/>
        <v>2222.0299999999997</v>
      </c>
      <c r="M428">
        <f>AVERAGE(B428:B477)</f>
        <v>2422.4640000000004</v>
      </c>
      <c r="N428">
        <f t="shared" si="78"/>
        <v>14.360000000000127</v>
      </c>
      <c r="O428">
        <v>-435.29830000000027</v>
      </c>
      <c r="P428">
        <f t="shared" si="76"/>
        <v>8.2070097518599638</v>
      </c>
      <c r="R428" s="36">
        <v>45732</v>
      </c>
      <c r="S428">
        <v>3124.4</v>
      </c>
      <c r="T428">
        <v>3022.1</v>
      </c>
      <c r="U428">
        <v>3014.6</v>
      </c>
      <c r="V428">
        <f t="shared" si="79"/>
        <v>102.30000000000018</v>
      </c>
      <c r="W428">
        <f t="shared" si="82"/>
        <v>109.80000000000018</v>
      </c>
      <c r="X428">
        <f t="shared" si="83"/>
        <v>7.5</v>
      </c>
      <c r="Y428">
        <f t="shared" si="81"/>
        <v>109.80000000000018</v>
      </c>
    </row>
    <row r="429" spans="1:25">
      <c r="A429" s="1">
        <v>428</v>
      </c>
      <c r="B429">
        <v>2048.6</v>
      </c>
      <c r="C429">
        <f t="shared" si="74"/>
        <v>2323.9452000000001</v>
      </c>
      <c r="D429">
        <f t="shared" si="70"/>
        <v>0.8359375</v>
      </c>
      <c r="E429">
        <f t="shared" si="71"/>
        <v>2736.7149090367025</v>
      </c>
      <c r="F429">
        <f t="shared" si="72"/>
        <v>-275.3452000000002</v>
      </c>
      <c r="G429" t="s">
        <v>434</v>
      </c>
      <c r="H429">
        <v>174.28643333333338</v>
      </c>
      <c r="I429">
        <f t="shared" si="69"/>
        <v>-449.63163333333358</v>
      </c>
      <c r="J429">
        <f t="shared" si="77"/>
        <v>-1.112955188909508</v>
      </c>
      <c r="K429">
        <f t="shared" si="73"/>
        <v>-12.5</v>
      </c>
      <c r="L429">
        <f t="shared" si="75"/>
        <v>2236.8849999999998</v>
      </c>
      <c r="M429">
        <f>AVERAGE(B429:B479)</f>
        <v>2437.7431372549022</v>
      </c>
      <c r="N429">
        <f t="shared" si="78"/>
        <v>14.855000000000018</v>
      </c>
      <c r="O429">
        <v>-430.89830000000006</v>
      </c>
      <c r="P429">
        <f t="shared" si="76"/>
        <v>-111.2955188909508</v>
      </c>
      <c r="R429" s="36">
        <v>45739</v>
      </c>
      <c r="S429">
        <v>3201.6</v>
      </c>
      <c r="T429">
        <v>3032.7</v>
      </c>
      <c r="U429">
        <v>3034.5</v>
      </c>
      <c r="V429">
        <f t="shared" si="79"/>
        <v>168.90000000000009</v>
      </c>
      <c r="W429">
        <f t="shared" si="82"/>
        <v>167.09999999999991</v>
      </c>
      <c r="X429">
        <f t="shared" si="83"/>
        <v>1.8000000000001819</v>
      </c>
      <c r="Y429">
        <f t="shared" si="81"/>
        <v>168.90000000000009</v>
      </c>
    </row>
    <row r="430" spans="1:25">
      <c r="A430" s="1">
        <v>429</v>
      </c>
      <c r="B430">
        <v>2036.1</v>
      </c>
      <c r="C430">
        <f t="shared" si="74"/>
        <v>2327.1961000000001</v>
      </c>
      <c r="D430">
        <f t="shared" si="70"/>
        <v>0.837890625</v>
      </c>
      <c r="E430">
        <f t="shared" si="71"/>
        <v>3038.4458021672644</v>
      </c>
      <c r="F430">
        <f t="shared" si="72"/>
        <v>-291.09610000000021</v>
      </c>
      <c r="G430" t="s">
        <v>435</v>
      </c>
      <c r="H430">
        <v>168.29108888888885</v>
      </c>
      <c r="I430">
        <f t="shared" si="69"/>
        <v>-459.38718888888906</v>
      </c>
      <c r="J430">
        <f t="shared" si="77"/>
        <v>-0.61391876626884734</v>
      </c>
      <c r="K430">
        <f t="shared" si="73"/>
        <v>37.300000000000182</v>
      </c>
      <c r="L430">
        <f t="shared" si="75"/>
        <v>2251.8349999999996</v>
      </c>
      <c r="M430">
        <f>AVERAGE(B430:B479)</f>
        <v>2445.5259999999998</v>
      </c>
      <c r="N430">
        <f t="shared" si="78"/>
        <v>14.949999999999818</v>
      </c>
      <c r="O430">
        <v>-449.63163333333358</v>
      </c>
      <c r="P430">
        <f t="shared" si="76"/>
        <v>-61.391876626884731</v>
      </c>
      <c r="R430" s="36">
        <v>45746</v>
      </c>
      <c r="S430">
        <v>3246.7</v>
      </c>
      <c r="T430">
        <v>2959.6</v>
      </c>
      <c r="U430">
        <v>3114.3</v>
      </c>
      <c r="V430">
        <f t="shared" si="79"/>
        <v>287.09999999999991</v>
      </c>
      <c r="W430">
        <f t="shared" si="82"/>
        <v>132.39999999999964</v>
      </c>
      <c r="X430">
        <f t="shared" si="83"/>
        <v>154.70000000000027</v>
      </c>
      <c r="Y430">
        <f t="shared" si="81"/>
        <v>287.09999999999991</v>
      </c>
    </row>
    <row r="431" spans="1:25">
      <c r="A431" s="1">
        <v>430</v>
      </c>
      <c r="B431">
        <v>2073.4</v>
      </c>
      <c r="C431">
        <f t="shared" si="74"/>
        <v>2330.4470000000001</v>
      </c>
      <c r="D431">
        <f t="shared" si="70"/>
        <v>0.83984375</v>
      </c>
      <c r="E431">
        <f t="shared" si="71"/>
        <v>2385.3036308684791</v>
      </c>
      <c r="F431">
        <f t="shared" si="72"/>
        <v>-257.04700000000003</v>
      </c>
      <c r="G431" t="s">
        <v>436</v>
      </c>
      <c r="H431">
        <v>163.41796666666673</v>
      </c>
      <c r="I431">
        <f t="shared" si="69"/>
        <v>-420.46496666666678</v>
      </c>
      <c r="J431">
        <f t="shared" si="77"/>
        <v>1.7989775248384383</v>
      </c>
      <c r="K431">
        <f t="shared" si="73"/>
        <v>-14.800000000000182</v>
      </c>
      <c r="L431">
        <f t="shared" si="75"/>
        <v>2268.625</v>
      </c>
      <c r="M431">
        <f>AVERAGE(B431:B481)</f>
        <v>2465.3196078431374</v>
      </c>
      <c r="N431">
        <f t="shared" si="78"/>
        <v>16.790000000000418</v>
      </c>
      <c r="O431">
        <v>-459.38718888888906</v>
      </c>
      <c r="P431">
        <f t="shared" si="76"/>
        <v>179.89775248384382</v>
      </c>
      <c r="R431" s="36">
        <v>45753</v>
      </c>
      <c r="S431">
        <v>3356.6</v>
      </c>
      <c r="T431">
        <v>3196.4</v>
      </c>
      <c r="U431">
        <v>3035.4</v>
      </c>
      <c r="V431">
        <f t="shared" si="79"/>
        <v>160.19999999999982</v>
      </c>
      <c r="W431">
        <f t="shared" si="82"/>
        <v>321.19999999999982</v>
      </c>
      <c r="X431">
        <f t="shared" si="83"/>
        <v>161</v>
      </c>
      <c r="Y431">
        <f t="shared" si="81"/>
        <v>321.19999999999982</v>
      </c>
    </row>
    <row r="432" spans="1:25" ht="71.25">
      <c r="A432" s="1">
        <v>431</v>
      </c>
      <c r="B432">
        <v>2058.6</v>
      </c>
      <c r="C432">
        <f t="shared" si="74"/>
        <v>2333.6979000000001</v>
      </c>
      <c r="D432">
        <f t="shared" si="70"/>
        <v>0.841796875</v>
      </c>
      <c r="E432">
        <f t="shared" si="71"/>
        <v>1798.61953585845</v>
      </c>
      <c r="F432">
        <f t="shared" si="72"/>
        <v>-275.09790000000021</v>
      </c>
      <c r="G432" t="s">
        <v>437</v>
      </c>
      <c r="H432">
        <v>168.63373333333334</v>
      </c>
      <c r="I432">
        <f t="shared" si="69"/>
        <v>-443.73163333333355</v>
      </c>
      <c r="J432">
        <f t="shared" si="77"/>
        <v>-0.71893519867872258</v>
      </c>
      <c r="K432">
        <f t="shared" si="73"/>
        <v>-14.699999999999818</v>
      </c>
      <c r="L432">
        <f t="shared" si="75"/>
        <v>2282.65</v>
      </c>
      <c r="M432">
        <f>AVERAGE(B432:B481)</f>
        <v>2473.1580000000004</v>
      </c>
      <c r="N432">
        <f t="shared" si="78"/>
        <v>14.025000000000091</v>
      </c>
      <c r="O432">
        <v>-420.46496666666678</v>
      </c>
      <c r="P432">
        <f t="shared" si="76"/>
        <v>-71.893519867872257</v>
      </c>
      <c r="R432" s="36">
        <v>45760</v>
      </c>
      <c r="T432" s="29" t="s">
        <v>602</v>
      </c>
      <c r="U432" cm="1">
        <f t="array" ref="U432:U451">B493:B512</f>
        <v>3230</v>
      </c>
    </row>
    <row r="433" spans="1:21">
      <c r="A433" s="1">
        <v>432</v>
      </c>
      <c r="B433">
        <v>2043.9</v>
      </c>
      <c r="C433">
        <f t="shared" si="74"/>
        <v>2336.9488000000001</v>
      </c>
      <c r="D433">
        <f t="shared" si="70"/>
        <v>0.84375</v>
      </c>
      <c r="E433">
        <f t="shared" si="71"/>
        <v>1783.6610583383213</v>
      </c>
      <c r="F433">
        <f t="shared" si="72"/>
        <v>-293.04880000000003</v>
      </c>
      <c r="G433" t="s">
        <v>438</v>
      </c>
      <c r="H433">
        <v>175.06061111111109</v>
      </c>
      <c r="I433">
        <f t="shared" si="69"/>
        <v>-468.10941111111111</v>
      </c>
      <c r="J433">
        <f t="shared" si="77"/>
        <v>-0.71921326875090841</v>
      </c>
      <c r="K433">
        <f t="shared" si="73"/>
        <v>25.400000000000091</v>
      </c>
      <c r="L433">
        <f t="shared" si="75"/>
        <v>2297.8450000000003</v>
      </c>
      <c r="M433">
        <f>AVERAGE(B433:B483)</f>
        <v>2494.6470588235297</v>
      </c>
      <c r="N433">
        <f t="shared" si="78"/>
        <v>15.195000000000164</v>
      </c>
      <c r="O433">
        <v>-443.73163333333355</v>
      </c>
      <c r="P433">
        <f t="shared" si="76"/>
        <v>-71.921326875090841</v>
      </c>
      <c r="R433" s="36">
        <v>45767</v>
      </c>
      <c r="U433">
        <v>3313.3</v>
      </c>
    </row>
    <row r="434" spans="1:21">
      <c r="A434" s="1">
        <v>433</v>
      </c>
      <c r="B434">
        <v>2069.3000000000002</v>
      </c>
      <c r="C434">
        <f t="shared" si="74"/>
        <v>2340.1997000000001</v>
      </c>
      <c r="D434">
        <f t="shared" si="70"/>
        <v>0.845703125</v>
      </c>
      <c r="E434">
        <f t="shared" si="71"/>
        <v>2417.8006183734819</v>
      </c>
      <c r="F434">
        <f t="shared" si="72"/>
        <v>-270.89969999999994</v>
      </c>
      <c r="G434" t="s">
        <v>439</v>
      </c>
      <c r="H434">
        <v>175.60114444444446</v>
      </c>
      <c r="I434">
        <f t="shared" si="69"/>
        <v>-446.5008444444444</v>
      </c>
      <c r="J434">
        <f t="shared" si="77"/>
        <v>1.227468225970139</v>
      </c>
      <c r="K434">
        <f t="shared" si="73"/>
        <v>46.699999999999818</v>
      </c>
      <c r="L434">
        <f t="shared" si="75"/>
        <v>2316.7050000000004</v>
      </c>
      <c r="M434">
        <f>AVERAGE(B434:B483)</f>
        <v>2503.6620000000003</v>
      </c>
      <c r="N434">
        <f t="shared" si="78"/>
        <v>18.860000000000127</v>
      </c>
      <c r="O434">
        <v>-468.10941111111111</v>
      </c>
      <c r="P434">
        <f t="shared" si="76"/>
        <v>122.7468225970139</v>
      </c>
      <c r="R434" s="36">
        <v>45774</v>
      </c>
      <c r="U434">
        <v>3283.5</v>
      </c>
    </row>
    <row r="435" spans="1:21">
      <c r="A435" s="1">
        <v>434</v>
      </c>
      <c r="B435">
        <v>2116</v>
      </c>
      <c r="C435">
        <f t="shared" si="74"/>
        <v>2343.4506000000001</v>
      </c>
      <c r="D435">
        <f t="shared" si="70"/>
        <v>0.84765625</v>
      </c>
      <c r="E435">
        <f t="shared" si="71"/>
        <v>3268.1291090873419</v>
      </c>
      <c r="F435">
        <f t="shared" si="72"/>
        <v>-227.45060000000012</v>
      </c>
      <c r="G435" t="s">
        <v>440</v>
      </c>
      <c r="H435">
        <v>183.85024444444448</v>
      </c>
      <c r="I435">
        <f t="shared" si="69"/>
        <v>-411.30084444444458</v>
      </c>
      <c r="J435">
        <f t="shared" si="77"/>
        <v>2.2069943289224869</v>
      </c>
      <c r="K435">
        <f t="shared" si="73"/>
        <v>90.300000000000182</v>
      </c>
      <c r="L435">
        <f t="shared" si="75"/>
        <v>2335.4650000000001</v>
      </c>
      <c r="M435">
        <f>AVERAGE(B435:B485)</f>
        <v>2527.2607843137257</v>
      </c>
      <c r="N435">
        <f t="shared" si="78"/>
        <v>18.759999999999764</v>
      </c>
      <c r="O435">
        <v>-446.5008444444444</v>
      </c>
      <c r="P435">
        <f t="shared" si="76"/>
        <v>220.69943289224869</v>
      </c>
      <c r="R435" s="36">
        <v>45781</v>
      </c>
      <c r="U435">
        <v>3271.7</v>
      </c>
    </row>
    <row r="436" spans="1:21">
      <c r="A436" s="1">
        <v>435</v>
      </c>
      <c r="B436">
        <v>2206.3000000000002</v>
      </c>
      <c r="C436">
        <f t="shared" si="74"/>
        <v>2346.7015000000001</v>
      </c>
      <c r="D436">
        <f t="shared" si="70"/>
        <v>0.849609375</v>
      </c>
      <c r="E436">
        <f t="shared" si="71"/>
        <v>2051.8039835237305</v>
      </c>
      <c r="F436">
        <f t="shared" si="72"/>
        <v>-140.40149999999994</v>
      </c>
      <c r="G436" t="s">
        <v>441</v>
      </c>
      <c r="H436">
        <v>187.5549</v>
      </c>
      <c r="I436">
        <f t="shared" si="69"/>
        <v>-327.95639999999992</v>
      </c>
      <c r="J436">
        <f t="shared" si="77"/>
        <v>4.0928250917826308</v>
      </c>
      <c r="K436">
        <f t="shared" si="73"/>
        <v>-23.200000000000273</v>
      </c>
      <c r="L436">
        <f t="shared" si="75"/>
        <v>2350.8150000000001</v>
      </c>
      <c r="M436">
        <f>AVERAGE(B436:B485)</f>
        <v>2535.4860000000003</v>
      </c>
      <c r="N436">
        <f t="shared" si="78"/>
        <v>15.349999999999909</v>
      </c>
      <c r="O436">
        <v>-411.30084444444458</v>
      </c>
      <c r="P436">
        <f t="shared" si="76"/>
        <v>409.28250917826307</v>
      </c>
      <c r="R436" s="36">
        <v>45788</v>
      </c>
      <c r="U436">
        <v>3357.3</v>
      </c>
    </row>
    <row r="437" spans="1:21">
      <c r="A437" s="1">
        <v>436</v>
      </c>
      <c r="B437">
        <v>2183.1</v>
      </c>
      <c r="C437">
        <f t="shared" si="74"/>
        <v>2349.9524000000001</v>
      </c>
      <c r="D437">
        <f t="shared" si="70"/>
        <v>0.8515625</v>
      </c>
      <c r="E437">
        <f t="shared" si="71"/>
        <v>2195.7250285310502</v>
      </c>
      <c r="F437">
        <f t="shared" si="72"/>
        <v>-166.85240000000022</v>
      </c>
      <c r="G437" t="s">
        <v>442</v>
      </c>
      <c r="H437">
        <v>181.60400000000004</v>
      </c>
      <c r="I437">
        <f t="shared" si="69"/>
        <v>-348.45640000000026</v>
      </c>
      <c r="J437">
        <f t="shared" si="77"/>
        <v>-1.0627089918006629</v>
      </c>
      <c r="K437">
        <f t="shared" si="73"/>
        <v>-1.5</v>
      </c>
      <c r="L437">
        <f t="shared" si="75"/>
        <v>2360.7249999999999</v>
      </c>
      <c r="M437">
        <f>AVERAGE(B437:B487)</f>
        <v>2556.0196078431372</v>
      </c>
      <c r="N437">
        <f t="shared" si="78"/>
        <v>9.9099999999998545</v>
      </c>
      <c r="O437">
        <v>-327.95639999999992</v>
      </c>
      <c r="P437">
        <f t="shared" si="76"/>
        <v>-106.27089918006629</v>
      </c>
      <c r="R437" s="36">
        <v>45795</v>
      </c>
      <c r="U437">
        <v>3200.2</v>
      </c>
    </row>
    <row r="438" spans="1:21">
      <c r="A438" s="1">
        <v>437</v>
      </c>
      <c r="B438">
        <v>2181.6</v>
      </c>
      <c r="C438">
        <f t="shared" si="74"/>
        <v>2353.2033000000001</v>
      </c>
      <c r="D438">
        <f t="shared" si="70"/>
        <v>0.853515625</v>
      </c>
      <c r="E438">
        <f t="shared" si="71"/>
        <v>1167.2309408529825</v>
      </c>
      <c r="F438">
        <f t="shared" si="72"/>
        <v>-171.60330000000022</v>
      </c>
      <c r="G438" t="s">
        <v>443</v>
      </c>
      <c r="H438">
        <v>174.28643333333338</v>
      </c>
      <c r="I438">
        <f t="shared" si="69"/>
        <v>-345.8897333333336</v>
      </c>
      <c r="J438">
        <f t="shared" si="77"/>
        <v>-6.8756875687568761E-2</v>
      </c>
      <c r="K438">
        <f t="shared" si="73"/>
        <v>76.800000000000182</v>
      </c>
      <c r="L438">
        <f t="shared" si="75"/>
        <v>2375.0600000000004</v>
      </c>
      <c r="M438">
        <f>AVERAGE(B438:B487)</f>
        <v>2563.4780000000001</v>
      </c>
      <c r="N438">
        <f t="shared" si="78"/>
        <v>14.335000000000491</v>
      </c>
      <c r="O438">
        <v>-348.45640000000026</v>
      </c>
      <c r="P438">
        <f t="shared" si="76"/>
        <v>-6.8756875687568764</v>
      </c>
      <c r="R438" s="36">
        <v>45802</v>
      </c>
      <c r="U438">
        <v>3379.3</v>
      </c>
    </row>
    <row r="439" spans="1:21">
      <c r="A439" s="1">
        <v>438</v>
      </c>
      <c r="B439">
        <v>2258.4</v>
      </c>
      <c r="C439">
        <f t="shared" si="74"/>
        <v>2356.4542000000001</v>
      </c>
      <c r="D439">
        <f t="shared" si="70"/>
        <v>0.85546875</v>
      </c>
      <c r="E439">
        <f t="shared" si="71"/>
        <v>2805.0183213508144</v>
      </c>
      <c r="F439">
        <f t="shared" si="72"/>
        <v>-98.054200000000037</v>
      </c>
      <c r="G439" t="s">
        <v>444</v>
      </c>
      <c r="H439">
        <v>168.29108888888885</v>
      </c>
      <c r="I439">
        <f t="shared" si="69"/>
        <v>-266.34528888888889</v>
      </c>
      <c r="J439">
        <f t="shared" si="77"/>
        <v>3.4006376195536743</v>
      </c>
      <c r="K439">
        <f t="shared" si="73"/>
        <v>108.19999999999982</v>
      </c>
      <c r="L439">
        <f t="shared" si="75"/>
        <v>2389.6500000000005</v>
      </c>
      <c r="M439">
        <f>AVERAGE(B439:B489)</f>
        <v>2587.2509803921566</v>
      </c>
      <c r="N439">
        <f t="shared" si="78"/>
        <v>14.590000000000146</v>
      </c>
      <c r="O439">
        <v>-345.8897333333336</v>
      </c>
      <c r="P439">
        <f t="shared" si="76"/>
        <v>340.06376195536745</v>
      </c>
      <c r="R439" s="36">
        <v>45809</v>
      </c>
      <c r="U439">
        <v>3315.4</v>
      </c>
    </row>
    <row r="440" spans="1:21">
      <c r="A440" s="1">
        <v>439</v>
      </c>
      <c r="B440">
        <v>2366.6</v>
      </c>
      <c r="C440">
        <f t="shared" si="74"/>
        <v>2359.7051000000001</v>
      </c>
      <c r="D440">
        <f t="shared" si="70"/>
        <v>0.857421875</v>
      </c>
      <c r="E440">
        <f t="shared" si="71"/>
        <v>2423.612757324021</v>
      </c>
      <c r="F440">
        <f t="shared" si="72"/>
        <v>6.8948999999997795</v>
      </c>
      <c r="G440" t="s">
        <v>445</v>
      </c>
      <c r="H440">
        <v>163.41796666666673</v>
      </c>
      <c r="I440">
        <f t="shared" si="69"/>
        <v>-156.52306666666695</v>
      </c>
      <c r="J440">
        <f t="shared" si="77"/>
        <v>4.5719597735147399</v>
      </c>
      <c r="K440">
        <f t="shared" si="73"/>
        <v>29.700000000000273</v>
      </c>
      <c r="L440">
        <f t="shared" si="75"/>
        <v>2403.6200000000003</v>
      </c>
      <c r="M440">
        <f>AVERAGE(B440:B489)</f>
        <v>2593.828</v>
      </c>
      <c r="N440">
        <f t="shared" si="78"/>
        <v>13.9699999999998</v>
      </c>
      <c r="O440">
        <v>-266.34528888888889</v>
      </c>
      <c r="P440">
        <f t="shared" si="76"/>
        <v>457.19597735147397</v>
      </c>
      <c r="R440" s="36">
        <v>45816</v>
      </c>
      <c r="U440">
        <v>3332.1</v>
      </c>
    </row>
    <row r="441" spans="1:21">
      <c r="A441" s="1">
        <v>440</v>
      </c>
      <c r="B441">
        <v>2396.3000000000002</v>
      </c>
      <c r="C441">
        <f t="shared" si="74"/>
        <v>2362.9560000000001</v>
      </c>
      <c r="D441">
        <f t="shared" si="70"/>
        <v>0.859375</v>
      </c>
      <c r="E441">
        <f t="shared" si="71"/>
        <v>2922.4330267807427</v>
      </c>
      <c r="F441">
        <f t="shared" si="72"/>
        <v>33.344000000000051</v>
      </c>
      <c r="G441" t="s">
        <v>446</v>
      </c>
      <c r="H441">
        <v>168.63373333333334</v>
      </c>
      <c r="I441">
        <f t="shared" si="69"/>
        <v>-135.28973333333329</v>
      </c>
      <c r="J441">
        <f t="shared" si="77"/>
        <v>1.2394107582523171</v>
      </c>
      <c r="K441">
        <f t="shared" si="73"/>
        <v>39.799999999999727</v>
      </c>
      <c r="L441">
        <f t="shared" si="75"/>
        <v>2412.6050000000005</v>
      </c>
      <c r="M441">
        <f>AVERAGE(B441:B491)</f>
        <v>2617.1294117647053</v>
      </c>
      <c r="N441">
        <f t="shared" si="78"/>
        <v>8.9850000000001273</v>
      </c>
      <c r="O441">
        <v>-156.52306666666695</v>
      </c>
      <c r="P441">
        <f t="shared" si="76"/>
        <v>123.94107582523171</v>
      </c>
      <c r="R441" s="36">
        <v>45823</v>
      </c>
      <c r="U441">
        <v>3438.1</v>
      </c>
    </row>
    <row r="442" spans="1:21">
      <c r="A442" s="1">
        <v>441</v>
      </c>
      <c r="B442">
        <v>2436.1</v>
      </c>
      <c r="C442">
        <f t="shared" si="74"/>
        <v>2366.2069000000001</v>
      </c>
      <c r="D442">
        <f t="shared" si="70"/>
        <v>0.861328125</v>
      </c>
      <c r="E442">
        <f t="shared" si="71"/>
        <v>3274.9752328734826</v>
      </c>
      <c r="F442">
        <f t="shared" si="72"/>
        <v>69.893099999999777</v>
      </c>
      <c r="G442" t="s">
        <v>447</v>
      </c>
      <c r="H442">
        <v>175.06061111111109</v>
      </c>
      <c r="I442">
        <f t="shared" si="69"/>
        <v>-105.16751111111131</v>
      </c>
      <c r="J442">
        <f t="shared" si="77"/>
        <v>1.6337588768933839</v>
      </c>
      <c r="K442">
        <f t="shared" si="73"/>
        <v>-66.799999999999727</v>
      </c>
      <c r="L442">
        <f t="shared" si="75"/>
        <v>2419.1700000000005</v>
      </c>
      <c r="M442">
        <f>AVERAGE(B442:B491)</f>
        <v>2621.5459999999998</v>
      </c>
      <c r="N442">
        <f t="shared" si="78"/>
        <v>6.5650000000000546</v>
      </c>
      <c r="O442">
        <v>-135.28973333333329</v>
      </c>
      <c r="P442">
        <f t="shared" si="76"/>
        <v>163.37588768933838</v>
      </c>
      <c r="R442" s="36">
        <v>45830</v>
      </c>
      <c r="U442">
        <v>3371.4</v>
      </c>
    </row>
    <row r="443" spans="1:21">
      <c r="A443" s="1">
        <v>442</v>
      </c>
      <c r="B443">
        <v>2369.3000000000002</v>
      </c>
      <c r="C443">
        <f t="shared" si="74"/>
        <v>2369.4578000000001</v>
      </c>
      <c r="D443">
        <f t="shared" si="70"/>
        <v>0.86328125</v>
      </c>
      <c r="E443">
        <f t="shared" si="71"/>
        <v>3086.7183705482757</v>
      </c>
      <c r="F443">
        <f t="shared" si="72"/>
        <v>-0.15779999999995198</v>
      </c>
      <c r="G443" t="s">
        <v>448</v>
      </c>
      <c r="H443">
        <v>175.60114444444446</v>
      </c>
      <c r="I443">
        <f t="shared" si="69"/>
        <v>-175.75894444444441</v>
      </c>
      <c r="J443">
        <f t="shared" si="77"/>
        <v>-2.8193981344700849</v>
      </c>
      <c r="K443">
        <f t="shared" si="73"/>
        <v>-38.700000000000273</v>
      </c>
      <c r="L443">
        <f t="shared" si="75"/>
        <v>2423.0250000000005</v>
      </c>
      <c r="M443">
        <f>AVERAGE(B443:B493)</f>
        <v>2645.2274509803924</v>
      </c>
      <c r="N443">
        <f t="shared" si="78"/>
        <v>3.8550000000000182</v>
      </c>
      <c r="O443">
        <v>-105.16751111111131</v>
      </c>
      <c r="P443">
        <f t="shared" si="76"/>
        <v>-281.93981344700848</v>
      </c>
      <c r="R443" s="36">
        <v>45837</v>
      </c>
      <c r="U443">
        <v>3287.6</v>
      </c>
    </row>
    <row r="444" spans="1:21">
      <c r="A444" s="1">
        <v>443</v>
      </c>
      <c r="B444">
        <v>2330.6</v>
      </c>
      <c r="C444">
        <f t="shared" si="74"/>
        <v>2372.7087000000001</v>
      </c>
      <c r="D444">
        <f t="shared" si="70"/>
        <v>0.865234375</v>
      </c>
      <c r="E444">
        <f t="shared" si="71"/>
        <v>2974.9279448856428</v>
      </c>
      <c r="F444">
        <f t="shared" si="72"/>
        <v>-42.108700000000226</v>
      </c>
      <c r="G444" t="s">
        <v>449</v>
      </c>
      <c r="H444">
        <v>183.85024444444448</v>
      </c>
      <c r="I444">
        <f t="shared" si="69"/>
        <v>-225.95894444444471</v>
      </c>
      <c r="J444">
        <f t="shared" si="77"/>
        <v>-1.6605166051660636</v>
      </c>
      <c r="K444">
        <f t="shared" si="73"/>
        <v>67.099999999999909</v>
      </c>
      <c r="L444">
        <f t="shared" si="75"/>
        <v>2434.5150000000003</v>
      </c>
      <c r="M444">
        <f>AVERAGE(B444:B493)</f>
        <v>2650.7459999999996</v>
      </c>
      <c r="N444">
        <f t="shared" si="78"/>
        <v>11.489999999999782</v>
      </c>
      <c r="O444">
        <v>-175.75894444444441</v>
      </c>
      <c r="P444">
        <f t="shared" si="76"/>
        <v>-166.05166051660635</v>
      </c>
      <c r="R444" s="36">
        <v>45844</v>
      </c>
      <c r="U444">
        <v>3398.8</v>
      </c>
    </row>
    <row r="445" spans="1:21">
      <c r="A445" s="1">
        <v>444</v>
      </c>
      <c r="B445">
        <v>2397.6999999999998</v>
      </c>
      <c r="C445">
        <f t="shared" si="74"/>
        <v>2375.9596000000001</v>
      </c>
      <c r="D445">
        <f t="shared" si="70"/>
        <v>0.8671875</v>
      </c>
      <c r="E445">
        <f t="shared" si="71"/>
        <v>3544.1064204155618</v>
      </c>
      <c r="F445">
        <f t="shared" si="72"/>
        <v>21.740399999999681</v>
      </c>
      <c r="G445" t="s">
        <v>450</v>
      </c>
      <c r="H445">
        <v>187.5549</v>
      </c>
      <c r="I445">
        <f t="shared" si="69"/>
        <v>-165.81450000000032</v>
      </c>
      <c r="J445">
        <f t="shared" si="77"/>
        <v>2.7985152437752809</v>
      </c>
      <c r="K445">
        <f t="shared" si="73"/>
        <v>42.700000000000273</v>
      </c>
      <c r="L445">
        <f t="shared" si="75"/>
        <v>2449.7149999999997</v>
      </c>
      <c r="M445">
        <f>AVERAGE(B445:B495)</f>
        <v>2682.4215686274506</v>
      </c>
      <c r="N445">
        <f t="shared" si="78"/>
        <v>15.199999999999363</v>
      </c>
      <c r="O445">
        <v>-225.95894444444471</v>
      </c>
      <c r="P445">
        <f t="shared" si="76"/>
        <v>279.85152437752811</v>
      </c>
      <c r="R445" s="36">
        <v>45851</v>
      </c>
      <c r="U445">
        <v>3406.5</v>
      </c>
    </row>
    <row r="446" spans="1:21">
      <c r="A446" s="1">
        <v>445</v>
      </c>
      <c r="B446">
        <v>2440.4</v>
      </c>
      <c r="C446">
        <f t="shared" si="74"/>
        <v>2379.2105000000001</v>
      </c>
      <c r="D446">
        <f t="shared" si="70"/>
        <v>0.869140625</v>
      </c>
      <c r="E446">
        <f t="shared" si="71"/>
        <v>2583.9327334867485</v>
      </c>
      <c r="F446">
        <f t="shared" si="72"/>
        <v>61.189499999999953</v>
      </c>
      <c r="G446" t="s">
        <v>451</v>
      </c>
      <c r="H446">
        <v>181.60400000000004</v>
      </c>
      <c r="I446">
        <f t="shared" si="69"/>
        <v>-120.41450000000009</v>
      </c>
      <c r="J446">
        <f t="shared" si="77"/>
        <v>1.7497131617767689</v>
      </c>
      <c r="K446">
        <f t="shared" si="73"/>
        <v>-83.5</v>
      </c>
      <c r="L446">
        <f t="shared" si="75"/>
        <v>2463.2349999999997</v>
      </c>
      <c r="M446">
        <f>AVERAGE(B446:B495)</f>
        <v>2688.116</v>
      </c>
      <c r="N446">
        <f t="shared" si="78"/>
        <v>13.519999999999982</v>
      </c>
      <c r="O446">
        <v>-165.81450000000032</v>
      </c>
      <c r="P446">
        <f t="shared" si="76"/>
        <v>174.9713161776769</v>
      </c>
      <c r="R446" s="36">
        <v>45858</v>
      </c>
      <c r="U446">
        <v>3400.9</v>
      </c>
    </row>
    <row r="447" spans="1:21">
      <c r="A447" s="1">
        <v>446</v>
      </c>
      <c r="B447">
        <v>2356.9</v>
      </c>
      <c r="C447">
        <f t="shared" si="74"/>
        <v>2382.4614000000001</v>
      </c>
      <c r="D447">
        <f t="shared" si="70"/>
        <v>0.87109375</v>
      </c>
      <c r="E447">
        <f t="shared" si="71"/>
        <v>2600.8924219436281</v>
      </c>
      <c r="F447">
        <f t="shared" si="72"/>
        <v>-25.561400000000049</v>
      </c>
      <c r="G447" t="s">
        <v>452</v>
      </c>
      <c r="H447">
        <v>174.28643333333338</v>
      </c>
      <c r="I447">
        <f t="shared" si="69"/>
        <v>-199.84783333333343</v>
      </c>
      <c r="J447">
        <f t="shared" si="77"/>
        <v>-3.5427892570749715</v>
      </c>
      <c r="K447">
        <f t="shared" si="73"/>
        <v>11.599999999999909</v>
      </c>
      <c r="L447">
        <f t="shared" si="75"/>
        <v>2474.6049999999996</v>
      </c>
      <c r="M447">
        <f>AVERAGE(B447:B497)</f>
        <v>2717.5372549019603</v>
      </c>
      <c r="N447">
        <f t="shared" si="78"/>
        <v>11.369999999999891</v>
      </c>
      <c r="O447">
        <v>-120.41450000000009</v>
      </c>
      <c r="P447">
        <f t="shared" si="76"/>
        <v>-354.27892570749714</v>
      </c>
      <c r="R447" s="36">
        <v>45865</v>
      </c>
      <c r="U447">
        <v>3379.6</v>
      </c>
    </row>
    <row r="448" spans="1:21">
      <c r="A448" s="1">
        <v>447</v>
      </c>
      <c r="B448">
        <v>2368.5</v>
      </c>
      <c r="C448">
        <f t="shared" si="74"/>
        <v>2385.7123000000001</v>
      </c>
      <c r="D448">
        <f t="shared" si="70"/>
        <v>0.873046875</v>
      </c>
      <c r="E448">
        <f t="shared" si="71"/>
        <v>3506.0523644311215</v>
      </c>
      <c r="F448">
        <f t="shared" si="72"/>
        <v>-17.212300000000141</v>
      </c>
      <c r="G448" t="s">
        <v>453</v>
      </c>
      <c r="H448">
        <v>168.29108888888885</v>
      </c>
      <c r="I448">
        <f t="shared" si="69"/>
        <v>-185.50338888888899</v>
      </c>
      <c r="J448">
        <f t="shared" si="77"/>
        <v>0.48976145239602742</v>
      </c>
      <c r="K448">
        <f t="shared" si="73"/>
        <v>-20.900000000000091</v>
      </c>
      <c r="L448">
        <f t="shared" si="75"/>
        <v>2490.5749999999998</v>
      </c>
      <c r="M448">
        <f>AVERAGE(B448:B497)</f>
        <v>2724.7499999999995</v>
      </c>
      <c r="N448">
        <f t="shared" si="78"/>
        <v>15.970000000000255</v>
      </c>
      <c r="O448">
        <v>-199.84783333333343</v>
      </c>
      <c r="P448">
        <f t="shared" si="76"/>
        <v>48.976145239602744</v>
      </c>
      <c r="R448" s="36">
        <v>45872</v>
      </c>
      <c r="U448">
        <v>3399.8</v>
      </c>
    </row>
    <row r="449" spans="1:21">
      <c r="A449" s="1">
        <v>448</v>
      </c>
      <c r="B449">
        <v>2347.6</v>
      </c>
      <c r="C449">
        <f t="shared" si="74"/>
        <v>2388.9632000000001</v>
      </c>
      <c r="D449">
        <f t="shared" si="70"/>
        <v>0.875</v>
      </c>
      <c r="E449">
        <f t="shared" si="71"/>
        <v>2391.1244494822968</v>
      </c>
      <c r="F449">
        <f t="shared" si="72"/>
        <v>-41.363200000000234</v>
      </c>
      <c r="G449" t="s">
        <v>454</v>
      </c>
      <c r="H449">
        <v>163.41796666666673</v>
      </c>
      <c r="I449">
        <f t="shared" si="69"/>
        <v>-204.78116666666696</v>
      </c>
      <c r="J449">
        <f t="shared" si="77"/>
        <v>-0.89027091497700173</v>
      </c>
      <c r="K449">
        <f t="shared" si="73"/>
        <v>24.300000000000182</v>
      </c>
      <c r="L449">
        <f t="shared" si="75"/>
        <v>2508.65</v>
      </c>
      <c r="M449">
        <f>AVERAGE(B449:B499)</f>
        <v>2753.8921568627447</v>
      </c>
      <c r="N449">
        <f t="shared" si="78"/>
        <v>18.075000000000273</v>
      </c>
      <c r="O449">
        <v>-185.50338888888899</v>
      </c>
      <c r="P449">
        <f t="shared" si="76"/>
        <v>-89.027091497700169</v>
      </c>
      <c r="R449" s="36">
        <v>45879</v>
      </c>
      <c r="U449">
        <v>3491.3</v>
      </c>
    </row>
    <row r="450" spans="1:21">
      <c r="A450" s="1">
        <v>449</v>
      </c>
      <c r="B450">
        <v>2371.9</v>
      </c>
      <c r="C450">
        <f t="shared" si="74"/>
        <v>2392.2141000000001</v>
      </c>
      <c r="D450">
        <f t="shared" si="70"/>
        <v>0.876953125</v>
      </c>
      <c r="E450">
        <f t="shared" si="71"/>
        <v>4230.935436565127</v>
      </c>
      <c r="F450">
        <f t="shared" si="72"/>
        <v>-20.314100000000053</v>
      </c>
      <c r="G450" t="s">
        <v>455</v>
      </c>
      <c r="H450">
        <v>168.63373333333334</v>
      </c>
      <c r="I450">
        <f t="shared" ref="I450:I512" si="84">B450-C450-H450</f>
        <v>-188.94783333333339</v>
      </c>
      <c r="J450">
        <f t="shared" si="77"/>
        <v>1.0244951304861158</v>
      </c>
      <c r="K450">
        <f t="shared" si="73"/>
        <v>-18</v>
      </c>
      <c r="L450">
        <f t="shared" si="75"/>
        <v>2528.38</v>
      </c>
      <c r="M450">
        <f>AVERAGE(B450:B499)</f>
        <v>2762.0179999999991</v>
      </c>
      <c r="N450">
        <f t="shared" si="78"/>
        <v>19.730000000000018</v>
      </c>
      <c r="O450">
        <v>-204.78116666666696</v>
      </c>
      <c r="P450">
        <f t="shared" si="76"/>
        <v>102.44951304861158</v>
      </c>
      <c r="R450" s="36">
        <v>45886</v>
      </c>
      <c r="U450">
        <v>3369.9</v>
      </c>
    </row>
    <row r="451" spans="1:21">
      <c r="A451" s="1">
        <v>450</v>
      </c>
      <c r="B451">
        <v>2353.9</v>
      </c>
      <c r="C451">
        <f t="shared" si="74"/>
        <v>2395.4650000000001</v>
      </c>
      <c r="D451">
        <f t="shared" ref="D451:D513" si="85">A451/512</f>
        <v>0.87890625</v>
      </c>
      <c r="E451">
        <f t="shared" ref="E451:E513" si="86">IMABS(G451)</f>
        <v>3385.4143840082797</v>
      </c>
      <c r="F451">
        <f t="shared" ref="F451:F513" si="87">B451-C451</f>
        <v>-41.565000000000055</v>
      </c>
      <c r="G451" t="s">
        <v>456</v>
      </c>
      <c r="H451">
        <v>175.06061111111109</v>
      </c>
      <c r="I451">
        <f t="shared" si="84"/>
        <v>-216.62561111111114</v>
      </c>
      <c r="J451">
        <f t="shared" si="77"/>
        <v>-0.76468838948128637</v>
      </c>
      <c r="K451">
        <f t="shared" ref="K451:K512" si="88">B452-B451</f>
        <v>8.5999999999999091</v>
      </c>
      <c r="L451">
        <f t="shared" si="75"/>
        <v>2547.2449999999999</v>
      </c>
      <c r="M451">
        <f>AVERAGE(B451:B501)</f>
        <v>2791.6960784313719</v>
      </c>
      <c r="N451">
        <f t="shared" si="78"/>
        <v>18.864999999999782</v>
      </c>
      <c r="O451">
        <v>-188.94783333333339</v>
      </c>
      <c r="P451">
        <f t="shared" si="76"/>
        <v>-76.468838948128635</v>
      </c>
      <c r="R451" s="36">
        <v>45893</v>
      </c>
      <c r="U451">
        <v>3405.8</v>
      </c>
    </row>
    <row r="452" spans="1:21">
      <c r="A452" s="1">
        <v>451</v>
      </c>
      <c r="B452">
        <v>2362.5</v>
      </c>
      <c r="C452">
        <f t="shared" ref="C452:C513" si="89">3.2509*A452+932.56</f>
        <v>2398.7159000000001</v>
      </c>
      <c r="D452">
        <f t="shared" si="85"/>
        <v>0.880859375</v>
      </c>
      <c r="E452">
        <f t="shared" si="86"/>
        <v>1936.4670716487801</v>
      </c>
      <c r="F452">
        <f t="shared" si="87"/>
        <v>-36.215900000000147</v>
      </c>
      <c r="G452" t="s">
        <v>457</v>
      </c>
      <c r="H452">
        <v>175.60114444444446</v>
      </c>
      <c r="I452">
        <f t="shared" si="84"/>
        <v>-211.8170444444446</v>
      </c>
      <c r="J452">
        <f t="shared" si="77"/>
        <v>0.36402116402116014</v>
      </c>
      <c r="K452">
        <f t="shared" si="88"/>
        <v>58.599999999999909</v>
      </c>
      <c r="L452">
        <f t="shared" ref="L452:L494" si="90">AVERAGE(B452:B471)</f>
        <v>2564.91</v>
      </c>
      <c r="M452">
        <f>AVERAGE(B452:B501)</f>
        <v>2800.4519999999993</v>
      </c>
      <c r="N452">
        <f t="shared" si="78"/>
        <v>17.664999999999964</v>
      </c>
      <c r="O452">
        <v>-216.62561111111114</v>
      </c>
      <c r="P452">
        <f t="shared" ref="P452:P513" si="91">J452*100</f>
        <v>36.402116402116015</v>
      </c>
    </row>
    <row r="453" spans="1:21">
      <c r="A453" s="1">
        <v>452</v>
      </c>
      <c r="B453">
        <v>2421.1</v>
      </c>
      <c r="C453">
        <f t="shared" si="89"/>
        <v>2401.9668000000001</v>
      </c>
      <c r="D453">
        <f t="shared" si="85"/>
        <v>0.8828125</v>
      </c>
      <c r="E453">
        <f t="shared" si="86"/>
        <v>3482.170788773406</v>
      </c>
      <c r="F453">
        <f t="shared" si="87"/>
        <v>19.133199999999761</v>
      </c>
      <c r="G453" t="s">
        <v>458</v>
      </c>
      <c r="H453">
        <v>183.85024444444448</v>
      </c>
      <c r="I453">
        <f t="shared" si="84"/>
        <v>-164.71704444444472</v>
      </c>
      <c r="J453">
        <f t="shared" ref="J453:J513" si="92">((B453-B452)/B453)*100</f>
        <v>2.4203874272025074</v>
      </c>
      <c r="K453">
        <f t="shared" si="88"/>
        <v>23.400000000000091</v>
      </c>
      <c r="L453">
        <f t="shared" si="90"/>
        <v>2575.8899999999994</v>
      </c>
      <c r="M453">
        <f>AVERAGE(B453:B503)</f>
        <v>2832.737254901961</v>
      </c>
      <c r="N453">
        <f t="shared" ref="N453:N464" si="93">L453-L452</f>
        <v>10.979999999999563</v>
      </c>
      <c r="O453">
        <v>-211.8170444444446</v>
      </c>
      <c r="P453">
        <f t="shared" si="91"/>
        <v>242.03874272025075</v>
      </c>
    </row>
    <row r="454" spans="1:21">
      <c r="A454" s="1">
        <v>453</v>
      </c>
      <c r="B454">
        <v>2444.5</v>
      </c>
      <c r="C454">
        <f t="shared" si="89"/>
        <v>2405.2177000000001</v>
      </c>
      <c r="D454">
        <f t="shared" si="85"/>
        <v>0.884765625</v>
      </c>
      <c r="E454">
        <f t="shared" si="86"/>
        <v>3859.5352850056424</v>
      </c>
      <c r="F454">
        <f t="shared" si="87"/>
        <v>39.28229999999985</v>
      </c>
      <c r="G454" t="s">
        <v>459</v>
      </c>
      <c r="H454">
        <v>187.5549</v>
      </c>
      <c r="I454">
        <f t="shared" si="84"/>
        <v>-148.27260000000015</v>
      </c>
      <c r="J454">
        <f t="shared" si="92"/>
        <v>0.95725097156883177</v>
      </c>
      <c r="K454">
        <f t="shared" si="88"/>
        <v>-21.5</v>
      </c>
      <c r="L454">
        <f t="shared" si="90"/>
        <v>2591.0799999999995</v>
      </c>
      <c r="M454">
        <f>AVERAGE(B454:B503)</f>
        <v>2840.97</v>
      </c>
      <c r="N454">
        <f t="shared" si="93"/>
        <v>15.190000000000055</v>
      </c>
      <c r="O454">
        <v>-164.71704444444472</v>
      </c>
      <c r="P454">
        <f t="shared" si="91"/>
        <v>95.72509715688318</v>
      </c>
    </row>
    <row r="455" spans="1:21">
      <c r="A455" s="1">
        <v>454</v>
      </c>
      <c r="B455">
        <v>2423</v>
      </c>
      <c r="C455">
        <f t="shared" si="89"/>
        <v>2408.4686000000002</v>
      </c>
      <c r="D455">
        <f t="shared" si="85"/>
        <v>0.88671875</v>
      </c>
      <c r="E455">
        <f t="shared" si="86"/>
        <v>2642.493183235777</v>
      </c>
      <c r="F455">
        <f t="shared" si="87"/>
        <v>14.531399999999849</v>
      </c>
      <c r="G455" t="s">
        <v>460</v>
      </c>
      <c r="H455">
        <v>181.60400000000004</v>
      </c>
      <c r="I455">
        <f t="shared" si="84"/>
        <v>-167.07260000000019</v>
      </c>
      <c r="J455">
        <f t="shared" si="92"/>
        <v>-0.88732975650020629</v>
      </c>
      <c r="K455">
        <f t="shared" si="88"/>
        <v>-18.5</v>
      </c>
      <c r="L455">
        <f t="shared" si="90"/>
        <v>2602.9049999999993</v>
      </c>
      <c r="M455">
        <f>AVERAGE(B455:B505)</f>
        <v>2868.4392156862737</v>
      </c>
      <c r="N455">
        <f t="shared" si="93"/>
        <v>11.824999999999818</v>
      </c>
      <c r="O455">
        <v>-148.27260000000015</v>
      </c>
      <c r="P455">
        <f t="shared" si="91"/>
        <v>-88.732975650020634</v>
      </c>
    </row>
    <row r="456" spans="1:21">
      <c r="A456" s="1">
        <v>455</v>
      </c>
      <c r="B456">
        <v>2404.5</v>
      </c>
      <c r="C456">
        <f t="shared" si="89"/>
        <v>2411.7195000000002</v>
      </c>
      <c r="D456">
        <f t="shared" si="85"/>
        <v>0.888671875</v>
      </c>
      <c r="E456">
        <f t="shared" si="86"/>
        <v>4016.8749803832789</v>
      </c>
      <c r="F456">
        <f t="shared" si="87"/>
        <v>-7.2195000000001528</v>
      </c>
      <c r="G456" t="s">
        <v>461</v>
      </c>
      <c r="H456">
        <v>174.28643333333338</v>
      </c>
      <c r="I456">
        <f t="shared" si="84"/>
        <v>-181.50593333333353</v>
      </c>
      <c r="J456">
        <f t="shared" si="92"/>
        <v>-0.76939072572260347</v>
      </c>
      <c r="K456">
        <f t="shared" si="88"/>
        <v>65.300000000000182</v>
      </c>
      <c r="L456">
        <f t="shared" si="90"/>
        <v>2614.7349999999992</v>
      </c>
      <c r="M456">
        <f>AVERAGE(B456:B505)</f>
        <v>2877.3479999999995</v>
      </c>
      <c r="N456">
        <f t="shared" si="93"/>
        <v>11.829999999999927</v>
      </c>
      <c r="O456">
        <v>-167.07260000000019</v>
      </c>
      <c r="P456">
        <f t="shared" si="91"/>
        <v>-76.939072572260343</v>
      </c>
    </row>
    <row r="457" spans="1:21">
      <c r="A457" s="1">
        <v>456</v>
      </c>
      <c r="B457">
        <v>2469.8000000000002</v>
      </c>
      <c r="C457">
        <f t="shared" si="89"/>
        <v>2414.9704000000002</v>
      </c>
      <c r="D457">
        <f t="shared" si="85"/>
        <v>0.890625</v>
      </c>
      <c r="E457">
        <f t="shared" si="86"/>
        <v>3463.3467269202392</v>
      </c>
      <c r="F457">
        <f t="shared" si="87"/>
        <v>54.829600000000028</v>
      </c>
      <c r="G457" t="s">
        <v>462</v>
      </c>
      <c r="H457">
        <v>168.29108888888885</v>
      </c>
      <c r="I457">
        <f t="shared" si="84"/>
        <v>-113.46148888888882</v>
      </c>
      <c r="J457">
        <f t="shared" si="92"/>
        <v>2.6439387804680612</v>
      </c>
      <c r="K457">
        <f t="shared" si="88"/>
        <v>3.5999999999999091</v>
      </c>
      <c r="L457">
        <f t="shared" si="90"/>
        <v>2627.6299999999997</v>
      </c>
      <c r="M457">
        <f>AVERAGE(B457:B507)</f>
        <v>2907.2607843137248</v>
      </c>
      <c r="N457">
        <f t="shared" si="93"/>
        <v>12.895000000000437</v>
      </c>
      <c r="O457">
        <v>-181.50593333333353</v>
      </c>
      <c r="P457">
        <f t="shared" si="91"/>
        <v>264.39387804680609</v>
      </c>
    </row>
    <row r="458" spans="1:21">
      <c r="A458" s="1">
        <v>457</v>
      </c>
      <c r="B458">
        <v>2473.4</v>
      </c>
      <c r="C458">
        <f t="shared" si="89"/>
        <v>2418.2213000000002</v>
      </c>
      <c r="D458">
        <f t="shared" si="85"/>
        <v>0.892578125</v>
      </c>
      <c r="E458">
        <f t="shared" si="86"/>
        <v>3957.9849064308096</v>
      </c>
      <c r="F458">
        <f t="shared" si="87"/>
        <v>55.178699999999935</v>
      </c>
      <c r="G458" t="s">
        <v>463</v>
      </c>
      <c r="H458">
        <v>163.41796666666673</v>
      </c>
      <c r="I458">
        <f t="shared" si="84"/>
        <v>-108.23926666666679</v>
      </c>
      <c r="J458">
        <f t="shared" si="92"/>
        <v>0.1455486375030286</v>
      </c>
      <c r="K458">
        <f t="shared" si="88"/>
        <v>64.400000000000091</v>
      </c>
      <c r="L458">
        <f t="shared" si="90"/>
        <v>2635.7649999999999</v>
      </c>
      <c r="M458">
        <f>AVERAGE(B458:B507)</f>
        <v>2916.01</v>
      </c>
      <c r="N458">
        <f t="shared" si="93"/>
        <v>8.1350000000002183</v>
      </c>
      <c r="O458">
        <v>-113.46148888888882</v>
      </c>
      <c r="P458">
        <f t="shared" si="91"/>
        <v>14.554863750302861</v>
      </c>
    </row>
    <row r="459" spans="1:21">
      <c r="A459" s="1">
        <v>458</v>
      </c>
      <c r="B459">
        <v>2537.8000000000002</v>
      </c>
      <c r="C459">
        <f t="shared" si="89"/>
        <v>2421.4722000000002</v>
      </c>
      <c r="D459">
        <f t="shared" si="85"/>
        <v>0.89453125</v>
      </c>
      <c r="E459">
        <f t="shared" si="86"/>
        <v>3054.9143341662393</v>
      </c>
      <c r="F459">
        <f t="shared" si="87"/>
        <v>116.32780000000002</v>
      </c>
      <c r="G459" t="s">
        <v>464</v>
      </c>
      <c r="H459">
        <v>168.63373333333334</v>
      </c>
      <c r="I459">
        <f t="shared" si="84"/>
        <v>-52.305933333333314</v>
      </c>
      <c r="J459">
        <f t="shared" si="92"/>
        <v>2.5376310189928319</v>
      </c>
      <c r="K459">
        <f t="shared" si="88"/>
        <v>8.5</v>
      </c>
      <c r="L459">
        <f t="shared" si="90"/>
        <v>2643.0150000000003</v>
      </c>
      <c r="M459">
        <f>AVERAGE(B459:B509)</f>
        <v>2943.2647058823522</v>
      </c>
      <c r="N459">
        <f t="shared" si="93"/>
        <v>7.2500000000004547</v>
      </c>
      <c r="O459">
        <v>-108.23926666666679</v>
      </c>
      <c r="P459">
        <f t="shared" si="91"/>
        <v>253.76310189928319</v>
      </c>
      <c r="R459" t="s">
        <v>548</v>
      </c>
    </row>
    <row r="460" spans="1:21">
      <c r="A460" s="1">
        <v>459</v>
      </c>
      <c r="B460">
        <v>2546.3000000000002</v>
      </c>
      <c r="C460">
        <f t="shared" si="89"/>
        <v>2424.7231000000002</v>
      </c>
      <c r="D460">
        <f t="shared" si="85"/>
        <v>0.896484375</v>
      </c>
      <c r="E460">
        <f t="shared" si="86"/>
        <v>3520.1754827933219</v>
      </c>
      <c r="F460">
        <f t="shared" si="87"/>
        <v>121.57690000000002</v>
      </c>
      <c r="G460" t="s">
        <v>465</v>
      </c>
      <c r="H460">
        <v>175.06061111111109</v>
      </c>
      <c r="I460">
        <f t="shared" si="84"/>
        <v>-53.483711111111063</v>
      </c>
      <c r="J460">
        <f t="shared" si="92"/>
        <v>0.33381769626516905</v>
      </c>
      <c r="K460">
        <f t="shared" si="88"/>
        <v>-18.700000000000273</v>
      </c>
      <c r="L460">
        <f t="shared" si="90"/>
        <v>2648.86</v>
      </c>
      <c r="M460">
        <f>AVERAGE(B460:B509)</f>
        <v>2951.3739999999998</v>
      </c>
      <c r="N460">
        <f t="shared" si="93"/>
        <v>5.8449999999997999</v>
      </c>
      <c r="O460">
        <v>-52.305933333333314</v>
      </c>
      <c r="P460">
        <f t="shared" si="91"/>
        <v>33.381769626516906</v>
      </c>
      <c r="S460" t="s">
        <v>604</v>
      </c>
      <c r="T460">
        <v>1</v>
      </c>
      <c r="U460" t="s">
        <v>685</v>
      </c>
    </row>
    <row r="461" spans="1:21">
      <c r="A461" s="1">
        <v>460</v>
      </c>
      <c r="B461">
        <v>2527.6</v>
      </c>
      <c r="C461">
        <f t="shared" si="89"/>
        <v>2427.9740000000002</v>
      </c>
      <c r="D461">
        <f t="shared" si="85"/>
        <v>0.8984375</v>
      </c>
      <c r="E461">
        <f t="shared" si="86"/>
        <v>3834.1844115217405</v>
      </c>
      <c r="F461">
        <f t="shared" si="87"/>
        <v>99.625999999999749</v>
      </c>
      <c r="G461" t="s">
        <v>466</v>
      </c>
      <c r="H461">
        <v>175.60114444444446</v>
      </c>
      <c r="I461">
        <f t="shared" si="84"/>
        <v>-75.975144444444709</v>
      </c>
      <c r="J461">
        <f t="shared" si="92"/>
        <v>-0.73983225193860869</v>
      </c>
      <c r="K461">
        <f t="shared" si="88"/>
        <v>-14.400000000000091</v>
      </c>
      <c r="L461">
        <f t="shared" si="90"/>
        <v>2658.02</v>
      </c>
      <c r="M461">
        <f>AVERAGE(B461:B511)</f>
        <v>2978.1098039215681</v>
      </c>
      <c r="N461">
        <f t="shared" si="93"/>
        <v>9.1599999999998545</v>
      </c>
      <c r="O461">
        <v>-53.483711111111063</v>
      </c>
      <c r="P461">
        <f t="shared" si="91"/>
        <v>-73.983225193860875</v>
      </c>
      <c r="T461">
        <v>2</v>
      </c>
      <c r="U461" t="s">
        <v>678</v>
      </c>
    </row>
    <row r="462" spans="1:21">
      <c r="A462" s="1">
        <v>461</v>
      </c>
      <c r="B462">
        <v>2513.1999999999998</v>
      </c>
      <c r="C462">
        <f t="shared" si="89"/>
        <v>2431.2249000000002</v>
      </c>
      <c r="D462">
        <f t="shared" si="85"/>
        <v>0.900390625</v>
      </c>
      <c r="E462">
        <f t="shared" si="86"/>
        <v>4314.7715657703475</v>
      </c>
      <c r="F462">
        <f t="shared" si="87"/>
        <v>81.975099999999657</v>
      </c>
      <c r="G462" t="s">
        <v>467</v>
      </c>
      <c r="H462">
        <v>183.85024444444448</v>
      </c>
      <c r="I462">
        <f t="shared" si="84"/>
        <v>-101.87514444444483</v>
      </c>
      <c r="J462">
        <f t="shared" si="92"/>
        <v>-0.57297469361770226</v>
      </c>
      <c r="K462">
        <f t="shared" si="88"/>
        <v>85.900000000000091</v>
      </c>
      <c r="L462">
        <f t="shared" si="90"/>
        <v>2669.72</v>
      </c>
      <c r="M462">
        <f>AVERAGE(B462:B511)</f>
        <v>2987.1199999999994</v>
      </c>
      <c r="N462">
        <f t="shared" si="93"/>
        <v>11.699999999999818</v>
      </c>
      <c r="O462">
        <v>-75.975144444444709</v>
      </c>
      <c r="P462">
        <f t="shared" si="91"/>
        <v>-57.297469361770226</v>
      </c>
      <c r="T462">
        <v>3</v>
      </c>
      <c r="U462" t="s">
        <v>679</v>
      </c>
    </row>
    <row r="463" spans="1:21">
      <c r="A463" s="1">
        <v>462</v>
      </c>
      <c r="B463">
        <v>2599.1</v>
      </c>
      <c r="C463">
        <f t="shared" si="89"/>
        <v>2434.4758000000002</v>
      </c>
      <c r="D463">
        <f t="shared" si="85"/>
        <v>0.90234375</v>
      </c>
      <c r="E463">
        <f t="shared" si="86"/>
        <v>4032.9548307070572</v>
      </c>
      <c r="F463">
        <f t="shared" si="87"/>
        <v>164.62419999999975</v>
      </c>
      <c r="G463" t="s">
        <v>468</v>
      </c>
      <c r="H463">
        <v>187.5549</v>
      </c>
      <c r="I463">
        <f t="shared" si="84"/>
        <v>-22.930700000000257</v>
      </c>
      <c r="J463">
        <f t="shared" si="92"/>
        <v>3.3049901889115496</v>
      </c>
      <c r="K463">
        <f t="shared" si="88"/>
        <v>35.5</v>
      </c>
      <c r="L463">
        <f t="shared" si="90"/>
        <v>2683.6949999999997</v>
      </c>
      <c r="M463">
        <f>AVERAGE(B463:B513)</f>
        <v>3014.9941176470584</v>
      </c>
      <c r="N463">
        <f t="shared" si="93"/>
        <v>13.974999999999909</v>
      </c>
      <c r="O463">
        <v>-101.87514444444483</v>
      </c>
      <c r="P463">
        <f t="shared" si="91"/>
        <v>330.49901889115495</v>
      </c>
      <c r="T463">
        <v>4</v>
      </c>
      <c r="U463" t="s">
        <v>680</v>
      </c>
    </row>
    <row r="464" spans="1:21">
      <c r="A464" s="1">
        <v>463</v>
      </c>
      <c r="B464">
        <v>2634.6</v>
      </c>
      <c r="C464">
        <f t="shared" si="89"/>
        <v>2437.7267000000002</v>
      </c>
      <c r="D464">
        <f t="shared" si="85"/>
        <v>0.904296875</v>
      </c>
      <c r="E464">
        <f t="shared" si="86"/>
        <v>4494.1385511837871</v>
      </c>
      <c r="F464">
        <f t="shared" si="87"/>
        <v>196.87329999999974</v>
      </c>
      <c r="G464" t="s">
        <v>469</v>
      </c>
      <c r="H464">
        <v>181.60400000000004</v>
      </c>
      <c r="I464">
        <f t="shared" si="84"/>
        <v>15.269299999999703</v>
      </c>
      <c r="J464">
        <f t="shared" si="92"/>
        <v>1.3474531238138618</v>
      </c>
      <c r="K464">
        <f t="shared" si="88"/>
        <v>33.5</v>
      </c>
      <c r="L464">
        <f t="shared" si="90"/>
        <v>2695.49</v>
      </c>
      <c r="M464">
        <f>AVERAGE(B464:B513)</f>
        <v>3023.3119999999994</v>
      </c>
      <c r="N464">
        <f t="shared" si="93"/>
        <v>11.795000000000073</v>
      </c>
      <c r="O464">
        <v>-22.930700000000257</v>
      </c>
      <c r="P464">
        <f t="shared" si="91"/>
        <v>134.74531238138619</v>
      </c>
      <c r="T464">
        <v>5</v>
      </c>
      <c r="U464" t="s">
        <v>681</v>
      </c>
    </row>
    <row r="465" spans="1:21">
      <c r="A465" s="1">
        <v>464</v>
      </c>
      <c r="B465">
        <v>2668.1</v>
      </c>
      <c r="C465">
        <f t="shared" si="89"/>
        <v>2440.9776000000002</v>
      </c>
      <c r="D465">
        <f t="shared" si="85"/>
        <v>0.90625</v>
      </c>
      <c r="E465">
        <f t="shared" si="86"/>
        <v>4442.8920355530763</v>
      </c>
      <c r="F465">
        <f t="shared" si="87"/>
        <v>227.12239999999974</v>
      </c>
      <c r="G465" t="s">
        <v>470</v>
      </c>
      <c r="H465">
        <v>174.28643333333338</v>
      </c>
      <c r="I465">
        <f t="shared" si="84"/>
        <v>52.835966666666366</v>
      </c>
      <c r="J465">
        <f t="shared" si="92"/>
        <v>1.2555751283685019</v>
      </c>
      <c r="K465">
        <f t="shared" si="88"/>
        <v>-0.29999999999972715</v>
      </c>
      <c r="L465">
        <f>AVERAGE(B465:B484)</f>
        <v>2708.14</v>
      </c>
      <c r="N465">
        <f>L465-L464</f>
        <v>12.650000000000091</v>
      </c>
      <c r="O465">
        <v>15.269299999999703</v>
      </c>
      <c r="P465">
        <f t="shared" si="91"/>
        <v>125.55751283685019</v>
      </c>
      <c r="T465">
        <v>6</v>
      </c>
      <c r="U465" t="s">
        <v>682</v>
      </c>
    </row>
    <row r="466" spans="1:21">
      <c r="A466" s="1">
        <v>465</v>
      </c>
      <c r="B466">
        <v>2667.8</v>
      </c>
      <c r="C466">
        <f t="shared" si="89"/>
        <v>2444.2285000000002</v>
      </c>
      <c r="D466">
        <f t="shared" si="85"/>
        <v>0.908203125</v>
      </c>
      <c r="E466">
        <f t="shared" si="86"/>
        <v>4237.9188788223428</v>
      </c>
      <c r="F466">
        <f t="shared" si="87"/>
        <v>223.57150000000001</v>
      </c>
      <c r="G466" t="s">
        <v>471</v>
      </c>
      <c r="H466">
        <v>168.29108888888885</v>
      </c>
      <c r="I466">
        <f t="shared" si="84"/>
        <v>55.280411111111164</v>
      </c>
      <c r="J466">
        <f t="shared" si="92"/>
        <v>-1.1245220781157774E-2</v>
      </c>
      <c r="K466">
        <f t="shared" si="88"/>
        <v>8.5</v>
      </c>
      <c r="L466">
        <f t="shared" si="90"/>
        <v>2719.1799999999994</v>
      </c>
      <c r="N466">
        <f>L466-L465</f>
        <v>11.039999999999509</v>
      </c>
      <c r="O466">
        <v>52.835966666666366</v>
      </c>
      <c r="P466">
        <f t="shared" si="91"/>
        <v>-1.1245220781157774</v>
      </c>
      <c r="T466">
        <v>7</v>
      </c>
      <c r="U466" t="s">
        <v>687</v>
      </c>
    </row>
    <row r="467" spans="1:21">
      <c r="A467" s="1">
        <v>466</v>
      </c>
      <c r="B467">
        <v>2676.3</v>
      </c>
      <c r="C467">
        <f t="shared" si="89"/>
        <v>2447.4794000000002</v>
      </c>
      <c r="D467">
        <f t="shared" si="85"/>
        <v>0.91015625</v>
      </c>
      <c r="E467">
        <f t="shared" si="86"/>
        <v>2659.2221556879526</v>
      </c>
      <c r="F467">
        <f t="shared" si="87"/>
        <v>228.82060000000001</v>
      </c>
      <c r="G467" t="s">
        <v>472</v>
      </c>
      <c r="H467">
        <v>163.41796666666673</v>
      </c>
      <c r="I467">
        <f t="shared" si="84"/>
        <v>65.402633333333284</v>
      </c>
      <c r="J467">
        <f t="shared" si="92"/>
        <v>0.31760266038934348</v>
      </c>
      <c r="K467">
        <f t="shared" si="88"/>
        <v>53.699999999999818</v>
      </c>
      <c r="L467">
        <f t="shared" si="90"/>
        <v>2732.8149999999996</v>
      </c>
      <c r="N467">
        <f t="shared" ref="N467:N493" si="94">L467-L466</f>
        <v>13.635000000000218</v>
      </c>
      <c r="O467">
        <v>55.280411111111164</v>
      </c>
      <c r="P467">
        <f t="shared" si="91"/>
        <v>31.760266038934347</v>
      </c>
      <c r="T467">
        <v>8</v>
      </c>
      <c r="U467" t="s">
        <v>694</v>
      </c>
    </row>
    <row r="468" spans="1:21">
      <c r="A468" s="1">
        <v>467</v>
      </c>
      <c r="B468">
        <v>2730</v>
      </c>
      <c r="C468">
        <f t="shared" si="89"/>
        <v>2450.7303000000002</v>
      </c>
      <c r="D468">
        <f t="shared" si="85"/>
        <v>0.912109375</v>
      </c>
      <c r="E468">
        <f t="shared" si="86"/>
        <v>4421.7431153857115</v>
      </c>
      <c r="F468">
        <f t="shared" si="87"/>
        <v>279.26969999999983</v>
      </c>
      <c r="G468" t="s">
        <v>473</v>
      </c>
      <c r="H468">
        <v>168.63373333333334</v>
      </c>
      <c r="I468">
        <f t="shared" si="84"/>
        <v>110.63596666666649</v>
      </c>
      <c r="J468">
        <f t="shared" si="92"/>
        <v>1.9670329670329605</v>
      </c>
      <c r="K468">
        <f t="shared" si="88"/>
        <v>12.199999999999818</v>
      </c>
      <c r="L468">
        <f t="shared" si="90"/>
        <v>2741.4249999999997</v>
      </c>
      <c r="N468">
        <f t="shared" si="94"/>
        <v>8.6100000000001273</v>
      </c>
      <c r="O468">
        <v>65.402633333333284</v>
      </c>
      <c r="P468">
        <f t="shared" si="91"/>
        <v>196.70329670329605</v>
      </c>
      <c r="T468">
        <v>9</v>
      </c>
      <c r="U468" t="s">
        <v>697</v>
      </c>
    </row>
    <row r="469" spans="1:21">
      <c r="A469" s="1">
        <v>468</v>
      </c>
      <c r="B469">
        <v>2742.2</v>
      </c>
      <c r="C469">
        <f t="shared" si="89"/>
        <v>2453.9812000000002</v>
      </c>
      <c r="D469">
        <f t="shared" si="85"/>
        <v>0.9140625</v>
      </c>
      <c r="E469">
        <f t="shared" si="86"/>
        <v>4846.7435066136795</v>
      </c>
      <c r="F469">
        <f t="shared" si="87"/>
        <v>288.21879999999965</v>
      </c>
      <c r="G469" t="s">
        <v>474</v>
      </c>
      <c r="H469">
        <v>175.06061111111109</v>
      </c>
      <c r="I469">
        <f t="shared" si="84"/>
        <v>113.15818888888856</v>
      </c>
      <c r="J469">
        <f t="shared" si="92"/>
        <v>0.44489825687403611</v>
      </c>
      <c r="K469">
        <f t="shared" si="88"/>
        <v>7</v>
      </c>
      <c r="L469">
        <f t="shared" si="90"/>
        <v>2752.07</v>
      </c>
      <c r="N469">
        <f t="shared" si="94"/>
        <v>10.645000000000437</v>
      </c>
      <c r="O469">
        <v>110.63596666666649</v>
      </c>
      <c r="P469">
        <f t="shared" si="91"/>
        <v>44.489825687403609</v>
      </c>
      <c r="T469">
        <v>10</v>
      </c>
      <c r="U469" t="s">
        <v>686</v>
      </c>
    </row>
    <row r="470" spans="1:21">
      <c r="A470" s="1">
        <v>469</v>
      </c>
      <c r="B470">
        <v>2749.2</v>
      </c>
      <c r="C470">
        <f t="shared" si="89"/>
        <v>2457.2321000000002</v>
      </c>
      <c r="D470">
        <f t="shared" si="85"/>
        <v>0.916015625</v>
      </c>
      <c r="E470">
        <f t="shared" si="86"/>
        <v>4388.7329779601168</v>
      </c>
      <c r="F470">
        <f t="shared" si="87"/>
        <v>291.96789999999964</v>
      </c>
      <c r="G470" t="s">
        <v>475</v>
      </c>
      <c r="H470">
        <v>175.60114444444446</v>
      </c>
      <c r="I470">
        <f t="shared" si="84"/>
        <v>116.36675555555519</v>
      </c>
      <c r="J470">
        <f t="shared" si="92"/>
        <v>0.25461952568019786</v>
      </c>
      <c r="K470">
        <f t="shared" si="88"/>
        <v>-42</v>
      </c>
      <c r="L470">
        <f t="shared" si="90"/>
        <v>2765.69</v>
      </c>
      <c r="N470">
        <f t="shared" si="94"/>
        <v>13.619999999999891</v>
      </c>
      <c r="O470">
        <v>113.15818888888856</v>
      </c>
      <c r="P470">
        <f t="shared" si="91"/>
        <v>25.461952568019786</v>
      </c>
      <c r="T470">
        <v>11</v>
      </c>
      <c r="U470" t="s">
        <v>688</v>
      </c>
    </row>
    <row r="471" spans="1:21">
      <c r="A471" s="1">
        <v>470</v>
      </c>
      <c r="B471">
        <v>2707.2</v>
      </c>
      <c r="C471">
        <f t="shared" si="89"/>
        <v>2460.4830000000002</v>
      </c>
      <c r="D471">
        <f t="shared" si="85"/>
        <v>0.91796875</v>
      </c>
      <c r="E471">
        <f t="shared" si="86"/>
        <v>3863.9640479651976</v>
      </c>
      <c r="F471">
        <f t="shared" si="87"/>
        <v>246.71699999999964</v>
      </c>
      <c r="G471" t="s">
        <v>476</v>
      </c>
      <c r="H471">
        <v>183.85024444444448</v>
      </c>
      <c r="I471">
        <f t="shared" si="84"/>
        <v>62.866755555555159</v>
      </c>
      <c r="J471">
        <f t="shared" si="92"/>
        <v>-1.5514184397163122</v>
      </c>
      <c r="K471">
        <f t="shared" si="88"/>
        <v>-125.09999999999991</v>
      </c>
      <c r="L471">
        <f t="shared" si="90"/>
        <v>2779.9549999999999</v>
      </c>
      <c r="N471">
        <f t="shared" si="94"/>
        <v>14.264999999999873</v>
      </c>
      <c r="O471">
        <v>116.36675555555519</v>
      </c>
      <c r="P471">
        <f t="shared" si="91"/>
        <v>-155.14184397163123</v>
      </c>
      <c r="T471">
        <v>12</v>
      </c>
      <c r="U471" t="s">
        <v>691</v>
      </c>
    </row>
    <row r="472" spans="1:21">
      <c r="A472" s="1">
        <v>471</v>
      </c>
      <c r="B472">
        <v>2582.1</v>
      </c>
      <c r="C472">
        <f t="shared" si="89"/>
        <v>2463.7339000000002</v>
      </c>
      <c r="D472">
        <f t="shared" si="85"/>
        <v>0.919921875</v>
      </c>
      <c r="E472">
        <f t="shared" si="86"/>
        <v>5552.0765375996298</v>
      </c>
      <c r="F472">
        <f t="shared" si="87"/>
        <v>118.36609999999973</v>
      </c>
      <c r="G472" t="s">
        <v>477</v>
      </c>
      <c r="H472">
        <v>187.5549</v>
      </c>
      <c r="I472">
        <f t="shared" si="84"/>
        <v>-69.188800000000271</v>
      </c>
      <c r="J472">
        <f t="shared" si="92"/>
        <v>-4.8448936911815936</v>
      </c>
      <c r="K472">
        <f t="shared" si="88"/>
        <v>142.80000000000018</v>
      </c>
      <c r="L472">
        <f t="shared" si="90"/>
        <v>2800.3100000000004</v>
      </c>
      <c r="N472">
        <f t="shared" si="94"/>
        <v>20.355000000000473</v>
      </c>
      <c r="O472">
        <v>62.866755555555159</v>
      </c>
      <c r="P472">
        <f t="shared" si="91"/>
        <v>-484.48936911815935</v>
      </c>
      <c r="T472">
        <v>13</v>
      </c>
      <c r="U472" t="s">
        <v>674</v>
      </c>
    </row>
    <row r="473" spans="1:21">
      <c r="A473" s="1">
        <v>472</v>
      </c>
      <c r="B473">
        <v>2724.9</v>
      </c>
      <c r="C473">
        <f t="shared" si="89"/>
        <v>2466.9848000000002</v>
      </c>
      <c r="D473">
        <f t="shared" si="85"/>
        <v>0.921875</v>
      </c>
      <c r="E473">
        <f t="shared" si="86"/>
        <v>4811.2772896904826</v>
      </c>
      <c r="F473">
        <f t="shared" si="87"/>
        <v>257.91519999999991</v>
      </c>
      <c r="G473" t="s">
        <v>478</v>
      </c>
      <c r="H473">
        <v>181.60400000000004</v>
      </c>
      <c r="I473">
        <f t="shared" si="84"/>
        <v>76.311199999999872</v>
      </c>
      <c r="J473">
        <f t="shared" si="92"/>
        <v>5.2405592865793302</v>
      </c>
      <c r="K473">
        <f t="shared" si="88"/>
        <v>-43.900000000000091</v>
      </c>
      <c r="L473">
        <f t="shared" si="90"/>
        <v>2822.9749999999999</v>
      </c>
      <c r="N473">
        <f t="shared" si="94"/>
        <v>22.664999999999509</v>
      </c>
      <c r="O473">
        <v>-69.188800000000271</v>
      </c>
      <c r="P473">
        <f t="shared" si="91"/>
        <v>524.05592865793301</v>
      </c>
      <c r="T473">
        <v>14</v>
      </c>
      <c r="U473" t="s">
        <v>675</v>
      </c>
    </row>
    <row r="474" spans="1:21">
      <c r="A474" s="1">
        <v>473</v>
      </c>
      <c r="B474">
        <v>2681</v>
      </c>
      <c r="C474">
        <f t="shared" si="89"/>
        <v>2470.2357000000002</v>
      </c>
      <c r="D474">
        <f t="shared" si="85"/>
        <v>0.923828125</v>
      </c>
      <c r="E474">
        <f t="shared" si="86"/>
        <v>4906.2463387442267</v>
      </c>
      <c r="F474">
        <f t="shared" si="87"/>
        <v>210.76429999999982</v>
      </c>
      <c r="G474" t="s">
        <v>479</v>
      </c>
      <c r="H474">
        <v>174.28643333333338</v>
      </c>
      <c r="I474">
        <f t="shared" si="84"/>
        <v>36.477866666666444</v>
      </c>
      <c r="J474">
        <f t="shared" si="92"/>
        <v>-1.6374487131667324</v>
      </c>
      <c r="K474">
        <f t="shared" si="88"/>
        <v>-21.400000000000091</v>
      </c>
      <c r="L474">
        <f t="shared" si="90"/>
        <v>2848.23</v>
      </c>
      <c r="N474">
        <f t="shared" si="94"/>
        <v>25.255000000000109</v>
      </c>
      <c r="O474">
        <v>76.311199999999872</v>
      </c>
      <c r="P474">
        <f t="shared" si="91"/>
        <v>-163.74487131667323</v>
      </c>
      <c r="T474">
        <v>15</v>
      </c>
      <c r="U474" t="s">
        <v>689</v>
      </c>
    </row>
    <row r="475" spans="1:21">
      <c r="A475" s="1">
        <v>474</v>
      </c>
      <c r="B475">
        <v>2659.6</v>
      </c>
      <c r="C475">
        <f t="shared" si="89"/>
        <v>2473.4866000000002</v>
      </c>
      <c r="D475">
        <f t="shared" si="85"/>
        <v>0.92578125</v>
      </c>
      <c r="E475">
        <f t="shared" si="86"/>
        <v>6519.0487926662108</v>
      </c>
      <c r="F475">
        <f t="shared" si="87"/>
        <v>186.11339999999973</v>
      </c>
      <c r="G475" t="s">
        <v>480</v>
      </c>
      <c r="H475">
        <v>168.29108888888885</v>
      </c>
      <c r="I475">
        <f t="shared" si="84"/>
        <v>17.822311111110878</v>
      </c>
      <c r="J475">
        <f t="shared" si="92"/>
        <v>-0.80463227553015837</v>
      </c>
      <c r="K475">
        <f t="shared" si="88"/>
        <v>2.8000000000001819</v>
      </c>
      <c r="L475">
        <f t="shared" si="90"/>
        <v>2879.8450000000003</v>
      </c>
      <c r="N475">
        <f t="shared" si="94"/>
        <v>31.615000000000236</v>
      </c>
      <c r="O475">
        <v>36.477866666666444</v>
      </c>
      <c r="P475">
        <f t="shared" si="91"/>
        <v>-80.463227553015841</v>
      </c>
      <c r="T475">
        <v>16</v>
      </c>
      <c r="U475" t="s">
        <v>690</v>
      </c>
    </row>
    <row r="476" spans="1:21">
      <c r="A476" s="1">
        <v>475</v>
      </c>
      <c r="B476">
        <v>2662.4</v>
      </c>
      <c r="C476">
        <f t="shared" si="89"/>
        <v>2476.7375000000002</v>
      </c>
      <c r="D476">
        <f t="shared" si="85"/>
        <v>0.927734375</v>
      </c>
      <c r="E476">
        <f t="shared" si="86"/>
        <v>6447.2500565023511</v>
      </c>
      <c r="F476">
        <f t="shared" si="87"/>
        <v>185.66249999999991</v>
      </c>
      <c r="G476" t="s">
        <v>481</v>
      </c>
      <c r="H476">
        <v>163.41796666666673</v>
      </c>
      <c r="I476">
        <f t="shared" si="84"/>
        <v>22.24453333333318</v>
      </c>
      <c r="J476">
        <f t="shared" si="92"/>
        <v>0.10516826923077606</v>
      </c>
      <c r="K476">
        <f t="shared" si="88"/>
        <v>-29.900000000000091</v>
      </c>
      <c r="L476">
        <f t="shared" si="90"/>
        <v>2911.0400000000004</v>
      </c>
      <c r="N476">
        <f t="shared" si="94"/>
        <v>31.195000000000164</v>
      </c>
      <c r="O476">
        <v>17.822311111110878</v>
      </c>
      <c r="P476">
        <f t="shared" si="91"/>
        <v>10.516826923077605</v>
      </c>
      <c r="T476">
        <v>17</v>
      </c>
      <c r="U476" t="s">
        <v>692</v>
      </c>
    </row>
    <row r="477" spans="1:21">
      <c r="A477" s="1">
        <v>476</v>
      </c>
      <c r="B477">
        <v>2632.5</v>
      </c>
      <c r="C477">
        <f t="shared" si="89"/>
        <v>2479.9884000000002</v>
      </c>
      <c r="D477">
        <f t="shared" si="85"/>
        <v>0.9296875</v>
      </c>
      <c r="E477">
        <f t="shared" si="86"/>
        <v>6796.5698214355125</v>
      </c>
      <c r="F477">
        <f t="shared" si="87"/>
        <v>152.51159999999982</v>
      </c>
      <c r="G477" t="s">
        <v>482</v>
      </c>
      <c r="H477">
        <v>168.63373333333334</v>
      </c>
      <c r="I477">
        <f t="shared" si="84"/>
        <v>-16.122133333333522</v>
      </c>
      <c r="J477">
        <f t="shared" si="92"/>
        <v>-1.135802469135806</v>
      </c>
      <c r="K477">
        <f t="shared" si="88"/>
        <v>-14.099999999999909</v>
      </c>
      <c r="L477">
        <f t="shared" si="90"/>
        <v>2941.5050000000001</v>
      </c>
      <c r="N477">
        <f t="shared" si="94"/>
        <v>30.464999999999691</v>
      </c>
      <c r="O477">
        <v>22.24453333333318</v>
      </c>
      <c r="P477">
        <f t="shared" si="91"/>
        <v>-113.58024691358059</v>
      </c>
    </row>
    <row r="478" spans="1:21">
      <c r="A478" s="1">
        <v>477</v>
      </c>
      <c r="B478">
        <v>2618.4</v>
      </c>
      <c r="C478">
        <f t="shared" si="89"/>
        <v>2483.2393000000002</v>
      </c>
      <c r="D478">
        <f t="shared" si="85"/>
        <v>0.931640625</v>
      </c>
      <c r="E478">
        <f t="shared" si="86"/>
        <v>6123.2175236937392</v>
      </c>
      <c r="F478">
        <f t="shared" si="87"/>
        <v>135.16069999999991</v>
      </c>
      <c r="G478" t="s">
        <v>483</v>
      </c>
      <c r="H478">
        <v>175.06061111111109</v>
      </c>
      <c r="I478">
        <f t="shared" si="84"/>
        <v>-39.89991111111118</v>
      </c>
      <c r="J478">
        <f t="shared" si="92"/>
        <v>-0.53849679193400202</v>
      </c>
      <c r="K478">
        <f t="shared" si="88"/>
        <v>36.299999999999727</v>
      </c>
      <c r="L478">
        <f t="shared" si="90"/>
        <v>2977.7450000000003</v>
      </c>
      <c r="N478">
        <f t="shared" si="94"/>
        <v>36.240000000000236</v>
      </c>
      <c r="O478">
        <v>-16.122133333333522</v>
      </c>
      <c r="P478">
        <f t="shared" si="91"/>
        <v>-53.849679193400199</v>
      </c>
    </row>
    <row r="479" spans="1:21">
      <c r="A479" s="1">
        <v>478</v>
      </c>
      <c r="B479">
        <v>2654.7</v>
      </c>
      <c r="C479">
        <f t="shared" si="89"/>
        <v>2486.4902000000002</v>
      </c>
      <c r="D479">
        <f t="shared" si="85"/>
        <v>0.93359375</v>
      </c>
      <c r="E479">
        <f t="shared" si="86"/>
        <v>5391.9396721316671</v>
      </c>
      <c r="F479">
        <f t="shared" si="87"/>
        <v>168.20979999999963</v>
      </c>
      <c r="G479" t="s">
        <v>484</v>
      </c>
      <c r="H479">
        <v>175.60114444444446</v>
      </c>
      <c r="I479">
        <f t="shared" si="84"/>
        <v>-7.391344444444826</v>
      </c>
      <c r="J479">
        <f t="shared" si="92"/>
        <v>1.3673861453271454</v>
      </c>
      <c r="K479">
        <f t="shared" si="88"/>
        <v>74.800000000000182</v>
      </c>
      <c r="L479">
        <f t="shared" si="90"/>
        <v>3006.835</v>
      </c>
      <c r="N479">
        <f t="shared" si="94"/>
        <v>29.089999999999691</v>
      </c>
      <c r="O479">
        <v>-39.89991111111118</v>
      </c>
      <c r="P479">
        <f t="shared" si="91"/>
        <v>136.73861453271454</v>
      </c>
    </row>
    <row r="480" spans="1:21">
      <c r="A480" s="1">
        <v>479</v>
      </c>
      <c r="B480">
        <v>2729.5</v>
      </c>
      <c r="C480">
        <f t="shared" si="89"/>
        <v>2489.7411000000002</v>
      </c>
      <c r="D480">
        <f t="shared" si="85"/>
        <v>0.935546875</v>
      </c>
      <c r="E480">
        <f t="shared" si="86"/>
        <v>6259.6356319815532</v>
      </c>
      <c r="F480">
        <f t="shared" si="87"/>
        <v>239.75889999999981</v>
      </c>
      <c r="G480" t="s">
        <v>485</v>
      </c>
      <c r="H480">
        <v>183.85024444444448</v>
      </c>
      <c r="I480">
        <f t="shared" si="84"/>
        <v>55.908655555555328</v>
      </c>
      <c r="J480">
        <f t="shared" si="92"/>
        <v>2.7404286499358923</v>
      </c>
      <c r="K480">
        <f t="shared" si="88"/>
        <v>32.099999999999909</v>
      </c>
      <c r="L480">
        <f t="shared" si="90"/>
        <v>3043.0650000000001</v>
      </c>
      <c r="N480">
        <f t="shared" si="94"/>
        <v>36.230000000000018</v>
      </c>
      <c r="O480">
        <v>-7.391344444444826</v>
      </c>
      <c r="P480">
        <f t="shared" si="91"/>
        <v>274.04286499358921</v>
      </c>
    </row>
    <row r="481" spans="1:16">
      <c r="A481" s="1">
        <v>480</v>
      </c>
      <c r="B481">
        <v>2761.6</v>
      </c>
      <c r="C481">
        <f t="shared" si="89"/>
        <v>2492.9920000000002</v>
      </c>
      <c r="D481">
        <f t="shared" si="85"/>
        <v>0.9375</v>
      </c>
      <c r="E481">
        <f t="shared" si="86"/>
        <v>6636.3762111180968</v>
      </c>
      <c r="F481">
        <f t="shared" si="87"/>
        <v>268.60799999999972</v>
      </c>
      <c r="G481" t="s">
        <v>486</v>
      </c>
      <c r="H481">
        <v>187.5549</v>
      </c>
      <c r="I481">
        <f t="shared" si="84"/>
        <v>81.053099999999716</v>
      </c>
      <c r="J481">
        <f t="shared" si="92"/>
        <v>1.1623696407879458</v>
      </c>
      <c r="K481">
        <f t="shared" si="88"/>
        <v>31.099999999999909</v>
      </c>
      <c r="L481">
        <f>AVERAGE(B481:B500)</f>
        <v>3072.36</v>
      </c>
      <c r="N481">
        <f t="shared" si="94"/>
        <v>29.295000000000073</v>
      </c>
      <c r="O481">
        <v>55.908655555555328</v>
      </c>
      <c r="P481">
        <f t="shared" si="91"/>
        <v>116.23696407879459</v>
      </c>
    </row>
    <row r="482" spans="1:16">
      <c r="A482" s="1">
        <v>481</v>
      </c>
      <c r="B482">
        <v>2792.7</v>
      </c>
      <c r="C482">
        <f t="shared" si="89"/>
        <v>2496.2429000000002</v>
      </c>
      <c r="D482">
        <f t="shared" si="85"/>
        <v>0.939453125</v>
      </c>
      <c r="E482">
        <f t="shared" si="86"/>
        <v>6004.9650557018567</v>
      </c>
      <c r="F482">
        <f t="shared" si="87"/>
        <v>296.45709999999963</v>
      </c>
      <c r="G482" t="s">
        <v>487</v>
      </c>
      <c r="H482">
        <v>181.60400000000004</v>
      </c>
      <c r="I482">
        <f t="shared" si="84"/>
        <v>114.85309999999959</v>
      </c>
      <c r="J482">
        <f t="shared" si="92"/>
        <v>1.1136176460056544</v>
      </c>
      <c r="K482">
        <f t="shared" si="88"/>
        <v>42.300000000000182</v>
      </c>
      <c r="L482">
        <f t="shared" si="90"/>
        <v>3100.8849999999998</v>
      </c>
      <c r="N482">
        <f t="shared" si="94"/>
        <v>28.524999999999636</v>
      </c>
      <c r="O482">
        <v>81.053099999999716</v>
      </c>
      <c r="P482">
        <f t="shared" si="91"/>
        <v>111.36176460056544</v>
      </c>
    </row>
    <row r="483" spans="1:16">
      <c r="A483" s="1">
        <v>482</v>
      </c>
      <c r="B483">
        <v>2835</v>
      </c>
      <c r="C483">
        <f t="shared" si="89"/>
        <v>2499.4938000000002</v>
      </c>
      <c r="D483">
        <f t="shared" si="85"/>
        <v>0.94140625</v>
      </c>
      <c r="E483">
        <f t="shared" si="86"/>
        <v>6798.7882549474352</v>
      </c>
      <c r="F483">
        <f t="shared" si="87"/>
        <v>335.50619999999981</v>
      </c>
      <c r="G483" t="s">
        <v>488</v>
      </c>
      <c r="H483">
        <v>174.28643333333338</v>
      </c>
      <c r="I483">
        <f t="shared" si="84"/>
        <v>161.21976666666643</v>
      </c>
      <c r="J483">
        <f t="shared" si="92"/>
        <v>1.4920634920634985</v>
      </c>
      <c r="K483">
        <f t="shared" si="88"/>
        <v>52.599999999999909</v>
      </c>
      <c r="L483">
        <f t="shared" si="90"/>
        <v>3133.1549999999997</v>
      </c>
      <c r="N483">
        <f t="shared" si="94"/>
        <v>32.269999999999982</v>
      </c>
      <c r="O483">
        <v>114.85309999999959</v>
      </c>
      <c r="P483">
        <f t="shared" si="91"/>
        <v>149.20634920634984</v>
      </c>
    </row>
    <row r="484" spans="1:16">
      <c r="A484" s="1">
        <v>483</v>
      </c>
      <c r="B484">
        <v>2887.6</v>
      </c>
      <c r="C484">
        <f t="shared" si="89"/>
        <v>2502.7447000000002</v>
      </c>
      <c r="D484">
        <f t="shared" si="85"/>
        <v>0.943359375</v>
      </c>
      <c r="E484">
        <f t="shared" si="86"/>
        <v>7669.8368449119025</v>
      </c>
      <c r="F484">
        <f t="shared" si="87"/>
        <v>384.85529999999972</v>
      </c>
      <c r="G484" t="s">
        <v>489</v>
      </c>
      <c r="H484">
        <v>168.29108888888885</v>
      </c>
      <c r="I484">
        <f t="shared" si="84"/>
        <v>216.56421111111086</v>
      </c>
      <c r="J484">
        <f t="shared" si="92"/>
        <v>1.8215819365563066</v>
      </c>
      <c r="K484">
        <f t="shared" si="88"/>
        <v>1.3000000000001819</v>
      </c>
      <c r="L484">
        <f t="shared" si="90"/>
        <v>3159.9749999999999</v>
      </c>
      <c r="N484">
        <f t="shared" si="94"/>
        <v>26.820000000000164</v>
      </c>
      <c r="O484">
        <v>161.21976666666643</v>
      </c>
      <c r="P484">
        <f t="shared" si="91"/>
        <v>182.15819365563067</v>
      </c>
    </row>
    <row r="485" spans="1:16">
      <c r="A485" s="1">
        <v>484</v>
      </c>
      <c r="B485">
        <v>2888.9</v>
      </c>
      <c r="C485">
        <f t="shared" si="89"/>
        <v>2505.9956000000002</v>
      </c>
      <c r="D485">
        <f t="shared" si="85"/>
        <v>0.9453125</v>
      </c>
      <c r="E485">
        <f t="shared" si="86"/>
        <v>7691.2305550484252</v>
      </c>
      <c r="F485">
        <f t="shared" si="87"/>
        <v>382.9043999999999</v>
      </c>
      <c r="G485" t="s">
        <v>490</v>
      </c>
      <c r="H485">
        <v>163.41796666666673</v>
      </c>
      <c r="I485">
        <f t="shared" si="84"/>
        <v>219.48643333333317</v>
      </c>
      <c r="J485">
        <f t="shared" si="92"/>
        <v>4.4999826923748897E-2</v>
      </c>
      <c r="K485">
        <f t="shared" si="88"/>
        <v>51.599999999999909</v>
      </c>
      <c r="L485">
        <f t="shared" si="90"/>
        <v>3179.9749999999999</v>
      </c>
      <c r="N485">
        <f t="shared" si="94"/>
        <v>20</v>
      </c>
      <c r="O485">
        <v>216.56421111111086</v>
      </c>
      <c r="P485">
        <f t="shared" si="91"/>
        <v>4.49998269237489</v>
      </c>
    </row>
    <row r="486" spans="1:16">
      <c r="A486" s="1">
        <v>485</v>
      </c>
      <c r="B486">
        <v>2940.5</v>
      </c>
      <c r="C486">
        <f t="shared" si="89"/>
        <v>2509.2465000000002</v>
      </c>
      <c r="D486">
        <f t="shared" si="85"/>
        <v>0.947265625</v>
      </c>
      <c r="E486">
        <f t="shared" si="86"/>
        <v>6518.7681574043008</v>
      </c>
      <c r="F486">
        <f t="shared" si="87"/>
        <v>431.2534999999998</v>
      </c>
      <c r="G486" t="s">
        <v>491</v>
      </c>
      <c r="H486">
        <v>168.63373333333334</v>
      </c>
      <c r="I486">
        <f t="shared" si="84"/>
        <v>262.61976666666646</v>
      </c>
      <c r="J486">
        <f t="shared" si="92"/>
        <v>1.7548036048291076</v>
      </c>
      <c r="K486">
        <f t="shared" si="88"/>
        <v>-92</v>
      </c>
      <c r="L486">
        <f t="shared" si="90"/>
        <v>3205.4700000000003</v>
      </c>
      <c r="N486">
        <f t="shared" si="94"/>
        <v>25.495000000000346</v>
      </c>
      <c r="O486">
        <v>219.48643333333317</v>
      </c>
      <c r="P486">
        <f t="shared" si="91"/>
        <v>175.48036048291075</v>
      </c>
    </row>
    <row r="487" spans="1:16">
      <c r="A487" s="1">
        <v>486</v>
      </c>
      <c r="B487">
        <v>2848.5</v>
      </c>
      <c r="C487">
        <f t="shared" si="89"/>
        <v>2512.4974000000002</v>
      </c>
      <c r="D487">
        <f t="shared" si="85"/>
        <v>0.94921875</v>
      </c>
      <c r="E487">
        <f t="shared" si="86"/>
        <v>5559.9715485175384</v>
      </c>
      <c r="F487">
        <f t="shared" si="87"/>
        <v>336.0025999999998</v>
      </c>
      <c r="G487" t="s">
        <v>492</v>
      </c>
      <c r="H487">
        <v>175.06061111111109</v>
      </c>
      <c r="I487">
        <f t="shared" si="84"/>
        <v>160.94198888888872</v>
      </c>
      <c r="J487">
        <f t="shared" si="92"/>
        <v>-3.2297700544146037</v>
      </c>
      <c r="K487">
        <f t="shared" si="88"/>
        <v>94.400000000000091</v>
      </c>
      <c r="L487">
        <f t="shared" si="90"/>
        <v>3228.77</v>
      </c>
      <c r="N487">
        <f t="shared" si="94"/>
        <v>23.299999999999727</v>
      </c>
      <c r="O487">
        <v>262.61976666666646</v>
      </c>
      <c r="P487">
        <f t="shared" si="91"/>
        <v>-322.97700544146039</v>
      </c>
    </row>
    <row r="488" spans="1:16">
      <c r="A488" s="1">
        <v>487</v>
      </c>
      <c r="B488">
        <v>2942.9</v>
      </c>
      <c r="C488">
        <f t="shared" si="89"/>
        <v>2515.7483000000002</v>
      </c>
      <c r="D488">
        <f t="shared" si="85"/>
        <v>0.951171875</v>
      </c>
      <c r="E488">
        <f t="shared" si="86"/>
        <v>9780.7909029901093</v>
      </c>
      <c r="F488">
        <f t="shared" si="87"/>
        <v>427.15169999999989</v>
      </c>
      <c r="G488" t="s">
        <v>493</v>
      </c>
      <c r="H488">
        <v>175.60114444444446</v>
      </c>
      <c r="I488">
        <f t="shared" si="84"/>
        <v>251.55055555555543</v>
      </c>
      <c r="J488">
        <f t="shared" si="92"/>
        <v>3.2077202759183145</v>
      </c>
      <c r="K488">
        <f t="shared" si="88"/>
        <v>71.699999999999818</v>
      </c>
      <c r="L488">
        <f t="shared" si="90"/>
        <v>3256.3900000000003</v>
      </c>
      <c r="N488">
        <f t="shared" si="94"/>
        <v>27.620000000000346</v>
      </c>
      <c r="O488">
        <v>160.94198888888872</v>
      </c>
      <c r="P488">
        <f t="shared" si="91"/>
        <v>320.77202759183143</v>
      </c>
    </row>
    <row r="489" spans="1:16">
      <c r="A489" s="1">
        <v>488</v>
      </c>
      <c r="B489">
        <v>3014.6</v>
      </c>
      <c r="C489">
        <f t="shared" si="89"/>
        <v>2518.9992000000002</v>
      </c>
      <c r="D489">
        <f t="shared" si="85"/>
        <v>0.953125</v>
      </c>
      <c r="E489">
        <f t="shared" si="86"/>
        <v>8076.0257148214623</v>
      </c>
      <c r="F489">
        <f t="shared" si="87"/>
        <v>495.60079999999971</v>
      </c>
      <c r="G489" t="s">
        <v>494</v>
      </c>
      <c r="H489">
        <v>183.85024444444448</v>
      </c>
      <c r="I489">
        <f t="shared" si="84"/>
        <v>311.75055555555525</v>
      </c>
      <c r="J489">
        <f t="shared" si="92"/>
        <v>2.3784249983413992</v>
      </c>
      <c r="K489">
        <f t="shared" si="88"/>
        <v>19.900000000000091</v>
      </c>
      <c r="L489">
        <f t="shared" si="90"/>
        <v>3278.2250000000008</v>
      </c>
      <c r="N489">
        <f t="shared" si="94"/>
        <v>21.835000000000491</v>
      </c>
      <c r="O489">
        <v>251.55055555555543</v>
      </c>
      <c r="P489">
        <f t="shared" si="91"/>
        <v>237.84249983413991</v>
      </c>
    </row>
    <row r="490" spans="1:16">
      <c r="A490" s="1">
        <v>489</v>
      </c>
      <c r="B490">
        <v>3034.5</v>
      </c>
      <c r="C490">
        <f t="shared" si="89"/>
        <v>2522.2501000000002</v>
      </c>
      <c r="D490">
        <f t="shared" si="85"/>
        <v>0.955078125</v>
      </c>
      <c r="E490">
        <f t="shared" si="86"/>
        <v>8566.4092775152767</v>
      </c>
      <c r="F490">
        <f t="shared" si="87"/>
        <v>512.2498999999998</v>
      </c>
      <c r="G490" t="s">
        <v>495</v>
      </c>
      <c r="H490">
        <v>187.5549</v>
      </c>
      <c r="I490">
        <f t="shared" si="84"/>
        <v>324.69499999999982</v>
      </c>
      <c r="J490">
        <f t="shared" si="92"/>
        <v>0.65579172845609124</v>
      </c>
      <c r="K490">
        <f t="shared" si="88"/>
        <v>79.800000000000182</v>
      </c>
      <c r="L490">
        <f t="shared" si="90"/>
        <v>3297.4849999999997</v>
      </c>
      <c r="N490">
        <f t="shared" si="94"/>
        <v>19.259999999998854</v>
      </c>
      <c r="O490">
        <v>311.75055555555525</v>
      </c>
      <c r="P490">
        <f t="shared" si="91"/>
        <v>65.579172845609122</v>
      </c>
    </row>
    <row r="491" spans="1:16">
      <c r="A491" s="1">
        <v>490</v>
      </c>
      <c r="B491">
        <v>3114.3</v>
      </c>
      <c r="C491">
        <f t="shared" si="89"/>
        <v>2525.5010000000002</v>
      </c>
      <c r="D491">
        <f t="shared" si="85"/>
        <v>0.95703125</v>
      </c>
      <c r="E491">
        <f t="shared" si="86"/>
        <v>11673.71418546247</v>
      </c>
      <c r="F491">
        <f t="shared" si="87"/>
        <v>588.79899999999998</v>
      </c>
      <c r="G491" t="s">
        <v>496</v>
      </c>
      <c r="H491">
        <v>181.60400000000004</v>
      </c>
      <c r="I491">
        <f t="shared" si="84"/>
        <v>407.19499999999994</v>
      </c>
      <c r="J491">
        <f t="shared" si="92"/>
        <v>2.5623735670937346</v>
      </c>
      <c r="K491">
        <f t="shared" si="88"/>
        <v>-78.900000000000091</v>
      </c>
      <c r="L491">
        <f t="shared" si="90"/>
        <v>3320.3249999999998</v>
      </c>
      <c r="N491">
        <f t="shared" si="94"/>
        <v>22.840000000000146</v>
      </c>
      <c r="O491">
        <v>324.69499999999982</v>
      </c>
      <c r="P491">
        <f t="shared" si="91"/>
        <v>256.23735670937344</v>
      </c>
    </row>
    <row r="492" spans="1:16">
      <c r="A492" s="1">
        <v>491</v>
      </c>
      <c r="B492">
        <v>3035.4</v>
      </c>
      <c r="C492">
        <f t="shared" si="89"/>
        <v>2528.7519000000002</v>
      </c>
      <c r="D492">
        <f t="shared" si="85"/>
        <v>0.958984375</v>
      </c>
      <c r="E492">
        <f t="shared" si="86"/>
        <v>8256.5699101802584</v>
      </c>
      <c r="F492">
        <f t="shared" si="87"/>
        <v>506.64809999999989</v>
      </c>
      <c r="G492" t="s">
        <v>497</v>
      </c>
      <c r="H492">
        <v>174.28643333333338</v>
      </c>
      <c r="I492">
        <f t="shared" si="84"/>
        <v>332.36166666666651</v>
      </c>
      <c r="J492">
        <f t="shared" si="92"/>
        <v>-2.599327930421035</v>
      </c>
      <c r="K492">
        <f t="shared" si="88"/>
        <v>194.59999999999991</v>
      </c>
      <c r="L492">
        <f t="shared" si="90"/>
        <v>3333.1050000000005</v>
      </c>
      <c r="N492">
        <f t="shared" si="94"/>
        <v>12.780000000000655</v>
      </c>
      <c r="O492">
        <v>407.19499999999994</v>
      </c>
      <c r="P492">
        <f t="shared" si="91"/>
        <v>-259.93279304210353</v>
      </c>
    </row>
    <row r="493" spans="1:16">
      <c r="A493" s="1">
        <v>492</v>
      </c>
      <c r="B493">
        <v>3230</v>
      </c>
      <c r="C493">
        <f t="shared" si="89"/>
        <v>2532.0028000000002</v>
      </c>
      <c r="D493">
        <f t="shared" si="85"/>
        <v>0.9609375</v>
      </c>
      <c r="E493">
        <f t="shared" si="86"/>
        <v>9034.4619731166549</v>
      </c>
      <c r="F493">
        <f t="shared" si="87"/>
        <v>697.99719999999979</v>
      </c>
      <c r="G493" t="s">
        <v>498</v>
      </c>
      <c r="H493">
        <v>168.29108888888885</v>
      </c>
      <c r="I493">
        <f t="shared" si="84"/>
        <v>529.70611111111089</v>
      </c>
      <c r="J493">
        <f t="shared" si="92"/>
        <v>6.0247678018575819</v>
      </c>
      <c r="K493">
        <f t="shared" si="88"/>
        <v>83.300000000000182</v>
      </c>
      <c r="L493">
        <f>AVERAGE(B493:B512)</f>
        <v>3351.6250000000009</v>
      </c>
      <c r="N493">
        <f t="shared" si="94"/>
        <v>18.520000000000437</v>
      </c>
      <c r="O493">
        <v>332.36166666666651</v>
      </c>
      <c r="P493">
        <f t="shared" si="91"/>
        <v>602.47678018575823</v>
      </c>
    </row>
    <row r="494" spans="1:16">
      <c r="A494" s="1">
        <v>493</v>
      </c>
      <c r="B494">
        <v>3313.3</v>
      </c>
      <c r="C494">
        <f t="shared" si="89"/>
        <v>2535.2537000000002</v>
      </c>
      <c r="D494">
        <f t="shared" si="85"/>
        <v>0.962890625</v>
      </c>
      <c r="E494">
        <f t="shared" si="86"/>
        <v>6853.5127976664544</v>
      </c>
      <c r="F494">
        <f t="shared" si="87"/>
        <v>778.04629999999997</v>
      </c>
      <c r="G494" t="s">
        <v>499</v>
      </c>
      <c r="H494">
        <v>163.41796666666673</v>
      </c>
      <c r="I494">
        <f t="shared" si="84"/>
        <v>614.62833333333322</v>
      </c>
      <c r="J494">
        <f t="shared" si="92"/>
        <v>2.5141097998973887</v>
      </c>
      <c r="K494">
        <f t="shared" si="88"/>
        <v>-29.800000000000182</v>
      </c>
      <c r="L494">
        <f t="shared" si="90"/>
        <v>3365.9300000000003</v>
      </c>
      <c r="N494">
        <f>L494-L493</f>
        <v>14.304999999999382</v>
      </c>
      <c r="O494">
        <v>529.70611111111089</v>
      </c>
      <c r="P494">
        <f t="shared" si="91"/>
        <v>251.41097998973888</v>
      </c>
    </row>
    <row r="495" spans="1:16">
      <c r="A495" s="1">
        <v>494</v>
      </c>
      <c r="B495">
        <v>3283.5</v>
      </c>
      <c r="C495">
        <f t="shared" si="89"/>
        <v>2538.5046000000002</v>
      </c>
      <c r="D495">
        <f t="shared" si="85"/>
        <v>0.96484375</v>
      </c>
      <c r="E495">
        <f t="shared" si="86"/>
        <v>7252.6803549846036</v>
      </c>
      <c r="F495">
        <f t="shared" si="87"/>
        <v>744.99539999999979</v>
      </c>
      <c r="G495" t="s">
        <v>500</v>
      </c>
      <c r="H495">
        <v>168.63373333333334</v>
      </c>
      <c r="I495">
        <f t="shared" si="84"/>
        <v>576.36166666666645</v>
      </c>
      <c r="J495">
        <f t="shared" si="92"/>
        <v>-0.90756814374905392</v>
      </c>
      <c r="K495">
        <f t="shared" si="88"/>
        <v>-11.800000000000182</v>
      </c>
      <c r="O495">
        <v>614.62833333333322</v>
      </c>
      <c r="P495">
        <f t="shared" si="91"/>
        <v>-90.756814374905389</v>
      </c>
    </row>
    <row r="496" spans="1:16">
      <c r="A496" s="1">
        <v>495</v>
      </c>
      <c r="B496">
        <v>3271.7</v>
      </c>
      <c r="C496">
        <f t="shared" si="89"/>
        <v>2541.7555000000002</v>
      </c>
      <c r="D496">
        <f t="shared" si="85"/>
        <v>0.966796875</v>
      </c>
      <c r="E496">
        <f t="shared" si="86"/>
        <v>10955.20681683307</v>
      </c>
      <c r="F496">
        <f t="shared" si="87"/>
        <v>729.94449999999961</v>
      </c>
      <c r="G496" t="s">
        <v>501</v>
      </c>
      <c r="H496">
        <v>175.06061111111109</v>
      </c>
      <c r="I496">
        <f t="shared" si="84"/>
        <v>554.88388888888858</v>
      </c>
      <c r="J496">
        <f t="shared" si="92"/>
        <v>-0.3606687654736126</v>
      </c>
      <c r="K496">
        <f t="shared" si="88"/>
        <v>85.600000000000364</v>
      </c>
      <c r="O496">
        <v>576.36166666666645</v>
      </c>
      <c r="P496">
        <f t="shared" si="91"/>
        <v>-36.066876547361261</v>
      </c>
    </row>
    <row r="497" spans="1:16">
      <c r="A497" s="1">
        <v>496</v>
      </c>
      <c r="B497">
        <v>3357.3</v>
      </c>
      <c r="C497">
        <f t="shared" si="89"/>
        <v>2545.0064000000002</v>
      </c>
      <c r="D497">
        <f t="shared" si="85"/>
        <v>0.96875</v>
      </c>
      <c r="E497">
        <f t="shared" si="86"/>
        <v>9418.4425254482812</v>
      </c>
      <c r="F497">
        <f t="shared" si="87"/>
        <v>812.29359999999997</v>
      </c>
      <c r="G497" t="s">
        <v>502</v>
      </c>
      <c r="H497">
        <v>175.60114444444446</v>
      </c>
      <c r="I497">
        <f t="shared" si="84"/>
        <v>636.69245555555551</v>
      </c>
      <c r="J497">
        <f t="shared" si="92"/>
        <v>2.5496678878861099</v>
      </c>
      <c r="K497">
        <f t="shared" si="88"/>
        <v>-157.10000000000036</v>
      </c>
      <c r="O497">
        <v>554.88388888888858</v>
      </c>
      <c r="P497">
        <f t="shared" si="91"/>
        <v>254.96678878861098</v>
      </c>
    </row>
    <row r="498" spans="1:16">
      <c r="A498" s="1">
        <v>497</v>
      </c>
      <c r="B498">
        <v>3200.2</v>
      </c>
      <c r="C498">
        <f t="shared" si="89"/>
        <v>2548.2573000000002</v>
      </c>
      <c r="D498">
        <f t="shared" si="85"/>
        <v>0.970703125</v>
      </c>
      <c r="E498">
        <f t="shared" si="86"/>
        <v>11632.7667508375</v>
      </c>
      <c r="F498">
        <f t="shared" si="87"/>
        <v>651.9426999999996</v>
      </c>
      <c r="G498" t="s">
        <v>503</v>
      </c>
      <c r="H498">
        <v>183.85024444444448</v>
      </c>
      <c r="I498">
        <f t="shared" si="84"/>
        <v>468.09245555555515</v>
      </c>
      <c r="J498">
        <f t="shared" si="92"/>
        <v>-4.9090681832385599</v>
      </c>
      <c r="K498">
        <f t="shared" si="88"/>
        <v>179.10000000000036</v>
      </c>
      <c r="O498">
        <v>636.69245555555551</v>
      </c>
      <c r="P498">
        <f t="shared" si="91"/>
        <v>-490.90681832385599</v>
      </c>
    </row>
    <row r="499" spans="1:16">
      <c r="A499" s="1">
        <v>498</v>
      </c>
      <c r="B499">
        <v>3379.3</v>
      </c>
      <c r="C499">
        <f t="shared" si="89"/>
        <v>2551.5082000000002</v>
      </c>
      <c r="D499">
        <f t="shared" si="85"/>
        <v>0.97265625</v>
      </c>
      <c r="E499">
        <f t="shared" si="86"/>
        <v>15210.356903550792</v>
      </c>
      <c r="F499">
        <f t="shared" si="87"/>
        <v>827.79179999999997</v>
      </c>
      <c r="G499" t="s">
        <v>504</v>
      </c>
      <c r="H499">
        <v>187.5549</v>
      </c>
      <c r="I499">
        <f t="shared" si="84"/>
        <v>640.23689999999999</v>
      </c>
      <c r="J499">
        <f t="shared" si="92"/>
        <v>5.2999141834107766</v>
      </c>
      <c r="K499">
        <f t="shared" si="88"/>
        <v>-63.900000000000091</v>
      </c>
      <c r="O499">
        <v>468.09245555555515</v>
      </c>
      <c r="P499">
        <f t="shared" si="91"/>
        <v>529.99141834107763</v>
      </c>
    </row>
    <row r="500" spans="1:16">
      <c r="A500" s="1">
        <v>499</v>
      </c>
      <c r="B500">
        <v>3315.4</v>
      </c>
      <c r="C500">
        <f t="shared" si="89"/>
        <v>2554.7591000000002</v>
      </c>
      <c r="D500">
        <f t="shared" si="85"/>
        <v>0.974609375</v>
      </c>
      <c r="E500">
        <f t="shared" si="86"/>
        <v>13671.700548243223</v>
      </c>
      <c r="F500">
        <f t="shared" si="87"/>
        <v>760.64089999999987</v>
      </c>
      <c r="G500" t="s">
        <v>505</v>
      </c>
      <c r="H500">
        <v>181.60400000000004</v>
      </c>
      <c r="I500">
        <f t="shared" si="84"/>
        <v>579.03689999999983</v>
      </c>
      <c r="J500">
        <f t="shared" si="92"/>
        <v>-1.9273692465464225</v>
      </c>
      <c r="K500">
        <f t="shared" si="88"/>
        <v>16.699999999999818</v>
      </c>
      <c r="O500">
        <v>640.23689999999999</v>
      </c>
      <c r="P500">
        <f t="shared" si="91"/>
        <v>-192.73692465464225</v>
      </c>
    </row>
    <row r="501" spans="1:16">
      <c r="A501" s="1">
        <v>500</v>
      </c>
      <c r="B501">
        <v>3332.1</v>
      </c>
      <c r="C501">
        <f t="shared" si="89"/>
        <v>2558.0100000000002</v>
      </c>
      <c r="D501">
        <f t="shared" si="85"/>
        <v>0.9765625</v>
      </c>
      <c r="E501">
        <f t="shared" si="86"/>
        <v>15815.094642850629</v>
      </c>
      <c r="F501">
        <f t="shared" si="87"/>
        <v>774.08999999999969</v>
      </c>
      <c r="G501" t="s">
        <v>506</v>
      </c>
      <c r="H501">
        <v>174.28643333333338</v>
      </c>
      <c r="I501">
        <f t="shared" si="84"/>
        <v>599.80356666666626</v>
      </c>
      <c r="J501">
        <f t="shared" si="92"/>
        <v>0.50118543861228115</v>
      </c>
      <c r="K501">
        <f t="shared" si="88"/>
        <v>106</v>
      </c>
      <c r="O501">
        <v>579.03689999999983</v>
      </c>
      <c r="P501">
        <f t="shared" si="91"/>
        <v>50.118543861228119</v>
      </c>
    </row>
    <row r="502" spans="1:16">
      <c r="A502" s="1">
        <v>501</v>
      </c>
      <c r="B502">
        <v>3438.1</v>
      </c>
      <c r="C502">
        <f t="shared" si="89"/>
        <v>2561.2609000000002</v>
      </c>
      <c r="D502">
        <f t="shared" si="85"/>
        <v>0.978515625</v>
      </c>
      <c r="E502">
        <f t="shared" si="86"/>
        <v>25020.623548383406</v>
      </c>
      <c r="F502">
        <f t="shared" si="87"/>
        <v>876.83909999999969</v>
      </c>
      <c r="G502" t="s">
        <v>507</v>
      </c>
      <c r="H502">
        <v>168.29108888888885</v>
      </c>
      <c r="I502">
        <f t="shared" si="84"/>
        <v>708.54801111111078</v>
      </c>
      <c r="J502">
        <f t="shared" si="92"/>
        <v>3.0830982228556474</v>
      </c>
      <c r="K502">
        <f t="shared" si="88"/>
        <v>-66.699999999999818</v>
      </c>
      <c r="O502">
        <v>599.80356666666626</v>
      </c>
      <c r="P502">
        <f t="shared" si="91"/>
        <v>308.30982228556474</v>
      </c>
    </row>
    <row r="503" spans="1:16">
      <c r="A503" s="1">
        <v>502</v>
      </c>
      <c r="B503">
        <v>3371.4</v>
      </c>
      <c r="C503">
        <f t="shared" si="89"/>
        <v>2564.5118000000002</v>
      </c>
      <c r="D503">
        <f t="shared" si="85"/>
        <v>0.98046875</v>
      </c>
      <c r="E503">
        <f t="shared" si="86"/>
        <v>16260.544094282332</v>
      </c>
      <c r="F503">
        <f t="shared" si="87"/>
        <v>806.88819999999987</v>
      </c>
      <c r="G503" t="s">
        <v>508</v>
      </c>
      <c r="H503">
        <v>163.41796666666673</v>
      </c>
      <c r="I503">
        <f t="shared" si="84"/>
        <v>643.47023333333311</v>
      </c>
      <c r="J503">
        <f t="shared" si="92"/>
        <v>-1.9784065966660678</v>
      </c>
      <c r="K503">
        <f t="shared" si="88"/>
        <v>-83.800000000000182</v>
      </c>
      <c r="O503">
        <v>708.54801111111078</v>
      </c>
      <c r="P503">
        <f t="shared" si="91"/>
        <v>-197.84065966660677</v>
      </c>
    </row>
    <row r="504" spans="1:16">
      <c r="A504" s="1">
        <v>503</v>
      </c>
      <c r="B504">
        <v>3287.6</v>
      </c>
      <c r="C504">
        <f t="shared" si="89"/>
        <v>2567.7627000000002</v>
      </c>
      <c r="D504">
        <f t="shared" si="85"/>
        <v>0.982421875</v>
      </c>
      <c r="E504">
        <f t="shared" si="86"/>
        <v>25088.341949837009</v>
      </c>
      <c r="F504">
        <f t="shared" si="87"/>
        <v>719.83729999999969</v>
      </c>
      <c r="G504" t="s">
        <v>509</v>
      </c>
      <c r="H504">
        <v>168.63373333333334</v>
      </c>
      <c r="I504">
        <f t="shared" si="84"/>
        <v>551.20356666666635</v>
      </c>
      <c r="J504">
        <f t="shared" si="92"/>
        <v>-2.5489718943910509</v>
      </c>
      <c r="K504">
        <f t="shared" si="88"/>
        <v>111.20000000000027</v>
      </c>
      <c r="O504">
        <v>643.47023333333311</v>
      </c>
      <c r="P504">
        <f t="shared" si="91"/>
        <v>-254.89718943910509</v>
      </c>
    </row>
    <row r="505" spans="1:16">
      <c r="A505" s="1">
        <v>504</v>
      </c>
      <c r="B505">
        <v>3398.8</v>
      </c>
      <c r="C505">
        <f t="shared" si="89"/>
        <v>2571.0136000000002</v>
      </c>
      <c r="D505">
        <f t="shared" si="85"/>
        <v>0.984375</v>
      </c>
      <c r="E505">
        <f t="shared" si="86"/>
        <v>25739.754934525776</v>
      </c>
      <c r="F505">
        <f t="shared" si="87"/>
        <v>827.78639999999996</v>
      </c>
      <c r="G505" t="s">
        <v>510</v>
      </c>
      <c r="H505">
        <v>175.06061111111109</v>
      </c>
      <c r="I505">
        <f t="shared" si="84"/>
        <v>652.72578888888893</v>
      </c>
      <c r="J505">
        <f t="shared" si="92"/>
        <v>3.2717429681063983</v>
      </c>
      <c r="K505">
        <f t="shared" si="88"/>
        <v>7.6999999999998181</v>
      </c>
      <c r="O505">
        <v>551.20356666666635</v>
      </c>
      <c r="P505">
        <f t="shared" si="91"/>
        <v>327.17429681063982</v>
      </c>
    </row>
    <row r="506" spans="1:16">
      <c r="A506" s="1">
        <v>505</v>
      </c>
      <c r="B506">
        <v>3406.5</v>
      </c>
      <c r="C506">
        <f t="shared" si="89"/>
        <v>2574.2645000000002</v>
      </c>
      <c r="D506">
        <f t="shared" si="85"/>
        <v>0.986328125</v>
      </c>
      <c r="E506">
        <f t="shared" si="86"/>
        <v>27343.758770188659</v>
      </c>
      <c r="F506">
        <f t="shared" si="87"/>
        <v>832.23549999999977</v>
      </c>
      <c r="G506" t="s">
        <v>511</v>
      </c>
      <c r="H506">
        <v>175.60114444444446</v>
      </c>
      <c r="I506">
        <f t="shared" si="84"/>
        <v>656.63435555555532</v>
      </c>
      <c r="J506">
        <f t="shared" si="92"/>
        <v>0.22603845589314009</v>
      </c>
      <c r="K506">
        <f t="shared" si="88"/>
        <v>-5.5999999999999091</v>
      </c>
      <c r="O506">
        <v>652.72578888888893</v>
      </c>
      <c r="P506">
        <f t="shared" si="91"/>
        <v>22.603845589314009</v>
      </c>
    </row>
    <row r="507" spans="1:16">
      <c r="A507" s="1">
        <v>506</v>
      </c>
      <c r="B507">
        <v>3400.9</v>
      </c>
      <c r="C507">
        <f t="shared" si="89"/>
        <v>2577.5154000000002</v>
      </c>
      <c r="D507">
        <f t="shared" si="85"/>
        <v>0.98828125</v>
      </c>
      <c r="E507">
        <f t="shared" si="86"/>
        <v>21278.228013967087</v>
      </c>
      <c r="F507">
        <f t="shared" si="87"/>
        <v>823.38459999999986</v>
      </c>
      <c r="G507" t="s">
        <v>512</v>
      </c>
      <c r="H507">
        <v>183.85024444444448</v>
      </c>
      <c r="I507">
        <f t="shared" si="84"/>
        <v>639.53435555555541</v>
      </c>
      <c r="J507">
        <f t="shared" si="92"/>
        <v>-0.16466229527477755</v>
      </c>
      <c r="K507">
        <f t="shared" si="88"/>
        <v>-21.300000000000182</v>
      </c>
      <c r="O507">
        <v>656.63435555555532</v>
      </c>
      <c r="P507">
        <f t="shared" si="91"/>
        <v>-16.466229527477754</v>
      </c>
    </row>
    <row r="508" spans="1:16">
      <c r="A508" s="1">
        <v>507</v>
      </c>
      <c r="B508">
        <v>3379.6</v>
      </c>
      <c r="C508">
        <f t="shared" si="89"/>
        <v>2580.7663000000002</v>
      </c>
      <c r="D508">
        <f t="shared" si="85"/>
        <v>0.990234375</v>
      </c>
      <c r="E508">
        <f t="shared" si="86"/>
        <v>31970.37075649884</v>
      </c>
      <c r="F508">
        <f t="shared" si="87"/>
        <v>798.83369999999968</v>
      </c>
      <c r="G508" t="s">
        <v>513</v>
      </c>
      <c r="H508">
        <v>187.5549</v>
      </c>
      <c r="I508">
        <f t="shared" si="84"/>
        <v>611.27879999999971</v>
      </c>
      <c r="J508">
        <f t="shared" si="92"/>
        <v>-0.63025210084034156</v>
      </c>
      <c r="K508">
        <f t="shared" si="88"/>
        <v>20.200000000000273</v>
      </c>
      <c r="O508">
        <v>639.53435555555541</v>
      </c>
      <c r="P508">
        <f t="shared" si="91"/>
        <v>-63.025210084034157</v>
      </c>
    </row>
    <row r="509" spans="1:16">
      <c r="A509" s="1">
        <v>508</v>
      </c>
      <c r="B509">
        <v>3399.8</v>
      </c>
      <c r="C509">
        <f t="shared" si="89"/>
        <v>2584.0172000000002</v>
      </c>
      <c r="D509">
        <f t="shared" si="85"/>
        <v>0.9921875</v>
      </c>
      <c r="E509">
        <f t="shared" si="86"/>
        <v>33616.926442260803</v>
      </c>
      <c r="F509">
        <f t="shared" si="87"/>
        <v>815.78279999999995</v>
      </c>
      <c r="G509" t="s">
        <v>514</v>
      </c>
      <c r="H509">
        <v>181.60400000000004</v>
      </c>
      <c r="I509">
        <f t="shared" si="84"/>
        <v>634.17879999999991</v>
      </c>
      <c r="J509">
        <f t="shared" si="92"/>
        <v>0.59415259721160874</v>
      </c>
      <c r="K509">
        <f t="shared" si="88"/>
        <v>91.5</v>
      </c>
      <c r="O509">
        <v>611.27879999999971</v>
      </c>
      <c r="P509">
        <f t="shared" si="91"/>
        <v>59.415259721160872</v>
      </c>
    </row>
    <row r="510" spans="1:16">
      <c r="A510" s="1">
        <v>509</v>
      </c>
      <c r="B510">
        <v>3491.3</v>
      </c>
      <c r="C510">
        <f t="shared" si="89"/>
        <v>2587.2681000000002</v>
      </c>
      <c r="D510">
        <f t="shared" si="85"/>
        <v>0.994140625</v>
      </c>
      <c r="E510">
        <f t="shared" si="86"/>
        <v>54271.588203239677</v>
      </c>
      <c r="F510">
        <f t="shared" si="87"/>
        <v>904.03189999999995</v>
      </c>
      <c r="G510" t="s">
        <v>515</v>
      </c>
      <c r="H510">
        <v>174.28643333333338</v>
      </c>
      <c r="I510">
        <f t="shared" si="84"/>
        <v>729.74546666666652</v>
      </c>
      <c r="J510">
        <f t="shared" si="92"/>
        <v>2.6208002749692092</v>
      </c>
      <c r="K510">
        <f t="shared" si="88"/>
        <v>-121.40000000000009</v>
      </c>
      <c r="O510">
        <v>634.17879999999991</v>
      </c>
      <c r="P510">
        <f t="shared" si="91"/>
        <v>262.08002749692093</v>
      </c>
    </row>
    <row r="511" spans="1:16">
      <c r="A511" s="1">
        <v>510</v>
      </c>
      <c r="B511">
        <v>3369.9</v>
      </c>
      <c r="C511">
        <f t="shared" si="89"/>
        <v>2590.5190000000002</v>
      </c>
      <c r="D511">
        <f t="shared" si="85"/>
        <v>0.99609375</v>
      </c>
      <c r="E511">
        <f t="shared" si="86"/>
        <v>57095.841924287961</v>
      </c>
      <c r="F511">
        <f t="shared" si="87"/>
        <v>779.38099999999986</v>
      </c>
      <c r="G511" t="s">
        <v>516</v>
      </c>
      <c r="H511">
        <v>168.29108888888885</v>
      </c>
      <c r="I511">
        <f t="shared" si="84"/>
        <v>611.08991111111095</v>
      </c>
      <c r="J511">
        <f t="shared" si="92"/>
        <v>-3.6024807857799961</v>
      </c>
      <c r="K511">
        <f t="shared" si="88"/>
        <v>35.900000000000091</v>
      </c>
      <c r="O511">
        <v>729.74546666666652</v>
      </c>
      <c r="P511">
        <f t="shared" si="91"/>
        <v>-360.24807857799959</v>
      </c>
    </row>
    <row r="512" spans="1:16">
      <c r="A512" s="1">
        <v>511</v>
      </c>
      <c r="B512">
        <v>3405.8</v>
      </c>
      <c r="C512">
        <f t="shared" si="89"/>
        <v>2593.7699000000002</v>
      </c>
      <c r="D512">
        <f t="shared" si="85"/>
        <v>0.998046875</v>
      </c>
      <c r="E512">
        <f t="shared" si="86"/>
        <v>88961.741728410852</v>
      </c>
      <c r="F512">
        <f t="shared" si="87"/>
        <v>812.03009999999995</v>
      </c>
      <c r="G512" t="s">
        <v>517</v>
      </c>
      <c r="H512">
        <v>163.41796666666673</v>
      </c>
      <c r="I512">
        <f t="shared" si="84"/>
        <v>648.61213333333319</v>
      </c>
      <c r="J512">
        <f t="shared" si="92"/>
        <v>1.0540842092900373</v>
      </c>
      <c r="K512">
        <f t="shared" si="88"/>
        <v>110.29999999999973</v>
      </c>
      <c r="O512">
        <v>611.08991111111095</v>
      </c>
      <c r="P512">
        <f t="shared" si="91"/>
        <v>105.40842092900374</v>
      </c>
    </row>
    <row r="513" spans="1:16">
      <c r="A513" s="1">
        <v>512</v>
      </c>
      <c r="B513">
        <v>3516.1</v>
      </c>
      <c r="C513">
        <f t="shared" si="89"/>
        <v>2597.0208000000002</v>
      </c>
      <c r="D513">
        <f t="shared" si="85"/>
        <v>1</v>
      </c>
      <c r="E513">
        <f t="shared" si="86"/>
        <v>124037.97291048901</v>
      </c>
      <c r="F513">
        <f t="shared" si="87"/>
        <v>919.07919999999967</v>
      </c>
      <c r="G513" t="s">
        <v>518</v>
      </c>
      <c r="H513">
        <v>168.63373333333334</v>
      </c>
      <c r="I513">
        <f>B513-C513-H513</f>
        <v>750.44546666666633</v>
      </c>
      <c r="J513">
        <f t="shared" si="92"/>
        <v>3.1369983788856892</v>
      </c>
      <c r="O513">
        <v>648.61213333333319</v>
      </c>
      <c r="P513">
        <f t="shared" si="91"/>
        <v>313.69983788856894</v>
      </c>
    </row>
    <row r="514" spans="1:16">
      <c r="A514" s="1"/>
      <c r="B514" s="1"/>
      <c r="O514">
        <v>750.44546666666633</v>
      </c>
    </row>
    <row r="515" spans="1:16" ht="15">
      <c r="A515" s="1"/>
      <c r="B515" s="1"/>
      <c r="H515" s="4"/>
    </row>
    <row r="516" spans="1:16" ht="15">
      <c r="A516" s="1"/>
      <c r="B516" s="1"/>
      <c r="H516" s="4"/>
    </row>
    <row r="517" spans="1:16" ht="15">
      <c r="A517" s="1"/>
      <c r="B517" s="1"/>
      <c r="H517" s="4"/>
    </row>
    <row r="518" spans="1:16" ht="15">
      <c r="A518" s="1"/>
      <c r="B518" s="1"/>
      <c r="H518" s="4"/>
    </row>
    <row r="519" spans="1:16" ht="15">
      <c r="A519" s="1"/>
      <c r="B519" s="1"/>
      <c r="H519" s="4"/>
    </row>
    <row r="520" spans="1:16" ht="15">
      <c r="A520" s="1"/>
      <c r="B520" s="1"/>
      <c r="H520" s="4"/>
    </row>
    <row r="521" spans="1:16" ht="15">
      <c r="A521" s="1"/>
      <c r="B521" s="1"/>
      <c r="H521" s="4"/>
    </row>
    <row r="522" spans="1:16" ht="15">
      <c r="A522" s="1"/>
      <c r="B522" s="1"/>
      <c r="H522" s="4"/>
    </row>
    <row r="523" spans="1:16" ht="15">
      <c r="A523" s="1"/>
      <c r="B523" s="1"/>
      <c r="H523" s="4"/>
    </row>
    <row r="524" spans="1:16" ht="15">
      <c r="A524" s="1"/>
      <c r="B524" s="1"/>
      <c r="H524" s="4"/>
    </row>
    <row r="525" spans="1:16" ht="15">
      <c r="A525" s="1"/>
      <c r="B525" s="1"/>
      <c r="H525" s="4"/>
    </row>
    <row r="526" spans="1:16" ht="15">
      <c r="A526" s="1"/>
      <c r="B526" s="1"/>
      <c r="H526" s="4"/>
    </row>
    <row r="527" spans="1:16" ht="15">
      <c r="A527" s="1"/>
      <c r="B527" s="1"/>
      <c r="H527" s="4"/>
    </row>
    <row r="528" spans="1:16" ht="15">
      <c r="H528" s="4"/>
    </row>
    <row r="529" spans="8:8" ht="15">
      <c r="H529" s="4"/>
    </row>
    <row r="530" spans="8:8" ht="15">
      <c r="H530" s="4"/>
    </row>
    <row r="531" spans="8:8" ht="15">
      <c r="H531" s="4"/>
    </row>
    <row r="532" spans="8:8" ht="15">
      <c r="H532" s="4"/>
    </row>
    <row r="533" spans="8:8" ht="15">
      <c r="H533" s="4"/>
    </row>
    <row r="534" spans="8:8" ht="15">
      <c r="H534" s="4"/>
    </row>
    <row r="535" spans="8:8" ht="15">
      <c r="H535" s="4"/>
    </row>
    <row r="536" spans="8:8" ht="15">
      <c r="H536" s="4"/>
    </row>
    <row r="537" spans="8:8" ht="15">
      <c r="H537" s="4"/>
    </row>
    <row r="538" spans="8:8" ht="15">
      <c r="H538" s="4"/>
    </row>
    <row r="539" spans="8:8" ht="15">
      <c r="H539" s="4"/>
    </row>
    <row r="540" spans="8:8" ht="15">
      <c r="H540" s="4"/>
    </row>
    <row r="541" spans="8:8" ht="15">
      <c r="H541" s="4"/>
    </row>
    <row r="542" spans="8:8" ht="15">
      <c r="H542" s="4"/>
    </row>
    <row r="543" spans="8:8" ht="15">
      <c r="H543" s="4"/>
    </row>
    <row r="544" spans="8:8" ht="15">
      <c r="H544" s="4"/>
    </row>
    <row r="545" spans="8:8" ht="15">
      <c r="H545" s="4"/>
    </row>
    <row r="546" spans="8:8" ht="15">
      <c r="H546" s="4"/>
    </row>
    <row r="547" spans="8:8" ht="15">
      <c r="H547" s="4"/>
    </row>
    <row r="548" spans="8:8" ht="15">
      <c r="H548" s="4"/>
    </row>
    <row r="549" spans="8:8" ht="15">
      <c r="H549" s="4"/>
    </row>
    <row r="550" spans="8:8" ht="15">
      <c r="H550" s="4"/>
    </row>
    <row r="551" spans="8:8" ht="15">
      <c r="H551" s="4"/>
    </row>
    <row r="552" spans="8:8" ht="15">
      <c r="H552" s="4"/>
    </row>
    <row r="553" spans="8:8" ht="15">
      <c r="H553" s="4"/>
    </row>
    <row r="554" spans="8:8" ht="15">
      <c r="H554" s="4"/>
    </row>
    <row r="555" spans="8:8" ht="15">
      <c r="H555" s="4"/>
    </row>
    <row r="556" spans="8:8" ht="15">
      <c r="H556" s="4"/>
    </row>
    <row r="557" spans="8:8" ht="15">
      <c r="H557" s="4"/>
    </row>
    <row r="558" spans="8:8" ht="15">
      <c r="H558" s="4"/>
    </row>
    <row r="559" spans="8:8" ht="15">
      <c r="H559" s="4"/>
    </row>
    <row r="560" spans="8:8" ht="15">
      <c r="H560" s="4"/>
    </row>
    <row r="561" spans="8:8" ht="15">
      <c r="H561" s="4"/>
    </row>
    <row r="562" spans="8:8" ht="15">
      <c r="H562" s="4"/>
    </row>
    <row r="563" spans="8:8" ht="15">
      <c r="H563" s="4"/>
    </row>
    <row r="564" spans="8:8" ht="15">
      <c r="H564" s="4"/>
    </row>
    <row r="565" spans="8:8" ht="15">
      <c r="H565" s="4"/>
    </row>
    <row r="566" spans="8:8" ht="15">
      <c r="H566" s="4"/>
    </row>
    <row r="567" spans="8:8" ht="15">
      <c r="H567" s="4"/>
    </row>
    <row r="568" spans="8:8" ht="15">
      <c r="H568" s="4"/>
    </row>
    <row r="569" spans="8:8" ht="15">
      <c r="H569" s="4"/>
    </row>
    <row r="570" spans="8:8" ht="15">
      <c r="H570" s="4"/>
    </row>
    <row r="571" spans="8:8" ht="15">
      <c r="H571" s="4"/>
    </row>
    <row r="572" spans="8:8" ht="15">
      <c r="H572" s="4"/>
    </row>
    <row r="573" spans="8:8" ht="15">
      <c r="H573" s="4"/>
    </row>
    <row r="574" spans="8:8" ht="15">
      <c r="H574" s="4"/>
    </row>
    <row r="575" spans="8:8" ht="15">
      <c r="H575" s="4"/>
    </row>
    <row r="576" spans="8:8" ht="15">
      <c r="H576" s="4"/>
    </row>
    <row r="577" spans="8:8" ht="15">
      <c r="H577" s="4"/>
    </row>
    <row r="578" spans="8:8" ht="15">
      <c r="H578" s="4"/>
    </row>
    <row r="579" spans="8:8" ht="15">
      <c r="H579" s="4"/>
    </row>
    <row r="580" spans="8:8" ht="15">
      <c r="H580" s="4"/>
    </row>
    <row r="581" spans="8:8" ht="15">
      <c r="H581" s="4"/>
    </row>
    <row r="582" spans="8:8" ht="15">
      <c r="H582" s="4"/>
    </row>
    <row r="583" spans="8:8" ht="15">
      <c r="H583" s="4"/>
    </row>
    <row r="584" spans="8:8" ht="15">
      <c r="H584" s="4"/>
    </row>
    <row r="585" spans="8:8" ht="15">
      <c r="H585" s="4"/>
    </row>
    <row r="586" spans="8:8" ht="15">
      <c r="H586" s="4"/>
    </row>
    <row r="587" spans="8:8" ht="15">
      <c r="H587" s="4"/>
    </row>
    <row r="588" spans="8:8" ht="15">
      <c r="H588" s="4"/>
    </row>
    <row r="589" spans="8:8" ht="15">
      <c r="H589" s="4"/>
    </row>
    <row r="590" spans="8:8" ht="15">
      <c r="H590" s="4"/>
    </row>
    <row r="591" spans="8:8" ht="15">
      <c r="H591" s="4"/>
    </row>
    <row r="592" spans="8:8" ht="15">
      <c r="H592" s="4"/>
    </row>
    <row r="593" spans="8:8" ht="15">
      <c r="H593" s="4"/>
    </row>
    <row r="594" spans="8:8" ht="15">
      <c r="H594" s="4"/>
    </row>
    <row r="595" spans="8:8" ht="15">
      <c r="H595" s="4"/>
    </row>
    <row r="596" spans="8:8" ht="15">
      <c r="H596" s="4"/>
    </row>
    <row r="597" spans="8:8" ht="15">
      <c r="H597" s="4"/>
    </row>
    <row r="598" spans="8:8" ht="15">
      <c r="H598" s="4"/>
    </row>
    <row r="599" spans="8:8" ht="15">
      <c r="H599" s="4"/>
    </row>
    <row r="600" spans="8:8" ht="15">
      <c r="H600" s="4"/>
    </row>
    <row r="601" spans="8:8" ht="15">
      <c r="H601" s="4"/>
    </row>
    <row r="602" spans="8:8" ht="15">
      <c r="H602" s="4"/>
    </row>
    <row r="603" spans="8:8" ht="15">
      <c r="H603" s="4"/>
    </row>
    <row r="604" spans="8:8" ht="15">
      <c r="H604" s="4"/>
    </row>
    <row r="605" spans="8:8" ht="15">
      <c r="H605" s="4"/>
    </row>
    <row r="606" spans="8:8" ht="15">
      <c r="H606" s="4"/>
    </row>
    <row r="607" spans="8:8" ht="15">
      <c r="H607" s="4"/>
    </row>
    <row r="608" spans="8:8" ht="15">
      <c r="H608" s="4"/>
    </row>
    <row r="609" spans="8:8" ht="15">
      <c r="H609" s="4"/>
    </row>
    <row r="610" spans="8:8" ht="15">
      <c r="H610" s="4"/>
    </row>
    <row r="611" spans="8:8" ht="15">
      <c r="H611" s="4"/>
    </row>
    <row r="612" spans="8:8" ht="15">
      <c r="H612" s="4"/>
    </row>
    <row r="613" spans="8:8" ht="15">
      <c r="H613" s="4"/>
    </row>
    <row r="614" spans="8:8" ht="15">
      <c r="H614" s="4"/>
    </row>
    <row r="615" spans="8:8" ht="15">
      <c r="H615" s="4"/>
    </row>
    <row r="616" spans="8:8" ht="15">
      <c r="H616" s="4"/>
    </row>
    <row r="617" spans="8:8" ht="15">
      <c r="H617" s="4"/>
    </row>
    <row r="618" spans="8:8" ht="15">
      <c r="H618" s="4"/>
    </row>
    <row r="619" spans="8:8" ht="15">
      <c r="H619" s="4"/>
    </row>
    <row r="620" spans="8:8" ht="15">
      <c r="H620" s="4"/>
    </row>
    <row r="621" spans="8:8" ht="15">
      <c r="H621" s="4"/>
    </row>
    <row r="622" spans="8:8" ht="15">
      <c r="H622" s="4"/>
    </row>
    <row r="623" spans="8:8" ht="15">
      <c r="H623" s="4"/>
    </row>
    <row r="624" spans="8:8" ht="15">
      <c r="H624" s="4"/>
    </row>
    <row r="625" spans="8:8" ht="15">
      <c r="H625" s="4"/>
    </row>
    <row r="626" spans="8:8" ht="15">
      <c r="H626" s="4"/>
    </row>
    <row r="627" spans="8:8" ht="15">
      <c r="H627" s="4"/>
    </row>
    <row r="628" spans="8:8" ht="15">
      <c r="H628" s="4"/>
    </row>
    <row r="629" spans="8:8" ht="15">
      <c r="H629" s="4"/>
    </row>
    <row r="630" spans="8:8" ht="15">
      <c r="H630" s="4"/>
    </row>
    <row r="631" spans="8:8" ht="15">
      <c r="H631" s="4"/>
    </row>
    <row r="632" spans="8:8" ht="15">
      <c r="H632" s="4"/>
    </row>
    <row r="633" spans="8:8" ht="15">
      <c r="H633" s="4"/>
    </row>
    <row r="634" spans="8:8" ht="15">
      <c r="H634" s="4"/>
    </row>
    <row r="635" spans="8:8" ht="15">
      <c r="H635" s="4"/>
    </row>
    <row r="636" spans="8:8" ht="15">
      <c r="H636" s="4"/>
    </row>
    <row r="637" spans="8:8" ht="15">
      <c r="H637" s="4"/>
    </row>
    <row r="638" spans="8:8" ht="15">
      <c r="H638" s="4"/>
    </row>
    <row r="639" spans="8:8" ht="15">
      <c r="H639" s="4"/>
    </row>
    <row r="640" spans="8:8" ht="15">
      <c r="H640" s="4"/>
    </row>
    <row r="641" spans="8:8" ht="15">
      <c r="H641" s="4"/>
    </row>
    <row r="642" spans="8:8" ht="15">
      <c r="H642" s="4"/>
    </row>
    <row r="643" spans="8:8" ht="15">
      <c r="H643" s="4"/>
    </row>
    <row r="644" spans="8:8" ht="15">
      <c r="H644" s="4"/>
    </row>
    <row r="645" spans="8:8" ht="15">
      <c r="H645" s="4"/>
    </row>
    <row r="646" spans="8:8" ht="15">
      <c r="H646" s="4"/>
    </row>
    <row r="647" spans="8:8" ht="15">
      <c r="H647" s="4"/>
    </row>
    <row r="648" spans="8:8" ht="15">
      <c r="H648" s="4"/>
    </row>
    <row r="649" spans="8:8" ht="15">
      <c r="H649" s="4"/>
    </row>
    <row r="650" spans="8:8" ht="15">
      <c r="H650" s="4"/>
    </row>
    <row r="651" spans="8:8" ht="15">
      <c r="H651" s="4"/>
    </row>
    <row r="652" spans="8:8" ht="15">
      <c r="H652" s="4"/>
    </row>
    <row r="653" spans="8:8" ht="15">
      <c r="H653" s="4"/>
    </row>
    <row r="654" spans="8:8" ht="15">
      <c r="H654" s="4"/>
    </row>
    <row r="655" spans="8:8" ht="15">
      <c r="H655" s="4"/>
    </row>
    <row r="656" spans="8:8" ht="15">
      <c r="H656" s="4"/>
    </row>
    <row r="657" spans="8:8" ht="15">
      <c r="H657" s="4"/>
    </row>
    <row r="658" spans="8:8" ht="15">
      <c r="H658" s="4"/>
    </row>
    <row r="659" spans="8:8" ht="15">
      <c r="H659" s="4"/>
    </row>
    <row r="660" spans="8:8" ht="15">
      <c r="H660" s="4"/>
    </row>
    <row r="661" spans="8:8" ht="15">
      <c r="H661" s="4"/>
    </row>
    <row r="662" spans="8:8" ht="15">
      <c r="H662" s="4"/>
    </row>
    <row r="663" spans="8:8" ht="15">
      <c r="H663" s="4"/>
    </row>
    <row r="664" spans="8:8" ht="15">
      <c r="H664" s="4"/>
    </row>
    <row r="665" spans="8:8" ht="15">
      <c r="H665" s="4"/>
    </row>
    <row r="666" spans="8:8" ht="15">
      <c r="H666" s="4"/>
    </row>
    <row r="667" spans="8:8" ht="15">
      <c r="H667" s="4"/>
    </row>
    <row r="668" spans="8:8" ht="15">
      <c r="H668" s="4"/>
    </row>
    <row r="669" spans="8:8" ht="15">
      <c r="H669" s="4"/>
    </row>
    <row r="670" spans="8:8" ht="15">
      <c r="H670" s="4"/>
    </row>
    <row r="671" spans="8:8" ht="15">
      <c r="H671" s="4"/>
    </row>
    <row r="672" spans="8:8" ht="15">
      <c r="H672" s="4"/>
    </row>
    <row r="673" spans="8:8" ht="15">
      <c r="H673" s="4"/>
    </row>
    <row r="674" spans="8:8" ht="15">
      <c r="H674" s="4"/>
    </row>
    <row r="675" spans="8:8" ht="15">
      <c r="H675" s="4"/>
    </row>
    <row r="676" spans="8:8" ht="15">
      <c r="H676" s="4"/>
    </row>
    <row r="677" spans="8:8" ht="15">
      <c r="H677" s="4"/>
    </row>
    <row r="678" spans="8:8" ht="15">
      <c r="H678" s="4"/>
    </row>
    <row r="679" spans="8:8" ht="15">
      <c r="H679" s="4"/>
    </row>
    <row r="680" spans="8:8" ht="15">
      <c r="H680" s="4"/>
    </row>
    <row r="681" spans="8:8" ht="15">
      <c r="H681" s="4"/>
    </row>
    <row r="682" spans="8:8" ht="15">
      <c r="H682" s="4"/>
    </row>
    <row r="683" spans="8:8" ht="15">
      <c r="H683" s="4"/>
    </row>
    <row r="684" spans="8:8" ht="15">
      <c r="H684" s="4"/>
    </row>
    <row r="685" spans="8:8" ht="15">
      <c r="H685" s="4"/>
    </row>
    <row r="686" spans="8:8" ht="15">
      <c r="H686" s="4"/>
    </row>
    <row r="687" spans="8:8" ht="15">
      <c r="H687" s="4"/>
    </row>
    <row r="688" spans="8:8" ht="15">
      <c r="H688" s="4"/>
    </row>
    <row r="689" spans="8:8" ht="15">
      <c r="H689" s="4"/>
    </row>
    <row r="690" spans="8:8" ht="15">
      <c r="H690" s="4"/>
    </row>
    <row r="691" spans="8:8" ht="15">
      <c r="H691" s="4"/>
    </row>
    <row r="692" spans="8:8" ht="15">
      <c r="H692" s="4"/>
    </row>
    <row r="693" spans="8:8" ht="15">
      <c r="H693" s="4"/>
    </row>
    <row r="694" spans="8:8" ht="15">
      <c r="H694" s="4"/>
    </row>
    <row r="695" spans="8:8" ht="15">
      <c r="H695" s="4"/>
    </row>
    <row r="696" spans="8:8" ht="15">
      <c r="H696" s="4"/>
    </row>
    <row r="697" spans="8:8" ht="15">
      <c r="H697" s="4"/>
    </row>
    <row r="698" spans="8:8" ht="15">
      <c r="H698" s="4"/>
    </row>
    <row r="699" spans="8:8" ht="15">
      <c r="H699" s="4"/>
    </row>
    <row r="700" spans="8:8" ht="15">
      <c r="H700" s="4"/>
    </row>
    <row r="701" spans="8:8" ht="15">
      <c r="H701" s="4"/>
    </row>
    <row r="702" spans="8:8" ht="15">
      <c r="H702" s="4"/>
    </row>
    <row r="703" spans="8:8" ht="15">
      <c r="H703" s="4"/>
    </row>
    <row r="704" spans="8:8" ht="15">
      <c r="H704" s="4"/>
    </row>
    <row r="705" spans="8:8" ht="15">
      <c r="H705" s="4"/>
    </row>
    <row r="706" spans="8:8" ht="15">
      <c r="H706" s="4"/>
    </row>
    <row r="707" spans="8:8" ht="15">
      <c r="H707" s="4"/>
    </row>
    <row r="708" spans="8:8" ht="15">
      <c r="H708" s="4"/>
    </row>
    <row r="709" spans="8:8" ht="15">
      <c r="H709" s="4"/>
    </row>
    <row r="710" spans="8:8" ht="15">
      <c r="H710" s="4"/>
    </row>
    <row r="711" spans="8:8" ht="15">
      <c r="H711" s="4"/>
    </row>
    <row r="712" spans="8:8" ht="15">
      <c r="H712" s="4"/>
    </row>
    <row r="713" spans="8:8" ht="15">
      <c r="H713" s="4"/>
    </row>
    <row r="714" spans="8:8" ht="15">
      <c r="H714" s="4"/>
    </row>
    <row r="715" spans="8:8" ht="15">
      <c r="H715" s="4"/>
    </row>
    <row r="716" spans="8:8" ht="15">
      <c r="H716" s="4"/>
    </row>
    <row r="717" spans="8:8" ht="15">
      <c r="H717" s="4"/>
    </row>
    <row r="718" spans="8:8" ht="15">
      <c r="H718" s="4"/>
    </row>
    <row r="719" spans="8:8" ht="15">
      <c r="H719" s="4"/>
    </row>
    <row r="720" spans="8:8" ht="15">
      <c r="H720" s="4"/>
    </row>
    <row r="721" spans="8:8" ht="15">
      <c r="H721" s="4"/>
    </row>
    <row r="722" spans="8:8" ht="15">
      <c r="H722" s="4"/>
    </row>
    <row r="723" spans="8:8" ht="15">
      <c r="H723" s="4"/>
    </row>
    <row r="724" spans="8:8" ht="15">
      <c r="H724" s="4"/>
    </row>
    <row r="725" spans="8:8" ht="15">
      <c r="H725" s="4"/>
    </row>
    <row r="726" spans="8:8" ht="15">
      <c r="H726" s="4"/>
    </row>
    <row r="727" spans="8:8" ht="15">
      <c r="H727" s="4"/>
    </row>
    <row r="728" spans="8:8" ht="15">
      <c r="H728" s="4"/>
    </row>
    <row r="729" spans="8:8" ht="15">
      <c r="H729" s="4"/>
    </row>
    <row r="730" spans="8:8" ht="15">
      <c r="H730" s="4"/>
    </row>
    <row r="731" spans="8:8" ht="15">
      <c r="H731" s="4"/>
    </row>
    <row r="732" spans="8:8" ht="15">
      <c r="H732" s="4"/>
    </row>
    <row r="733" spans="8:8" ht="15">
      <c r="H733" s="4"/>
    </row>
    <row r="734" spans="8:8" ht="15">
      <c r="H734" s="4"/>
    </row>
    <row r="735" spans="8:8" ht="15">
      <c r="H735" s="4"/>
    </row>
    <row r="736" spans="8:8" ht="15">
      <c r="H736" s="4"/>
    </row>
    <row r="737" spans="8:8" ht="15">
      <c r="H737" s="4"/>
    </row>
    <row r="738" spans="8:8" ht="15">
      <c r="H738" s="4"/>
    </row>
    <row r="739" spans="8:8" ht="15">
      <c r="H739" s="4"/>
    </row>
    <row r="740" spans="8:8" ht="15">
      <c r="H740" s="4"/>
    </row>
    <row r="741" spans="8:8" ht="15">
      <c r="H741" s="4"/>
    </row>
    <row r="742" spans="8:8" ht="15">
      <c r="H742" s="4"/>
    </row>
    <row r="743" spans="8:8" ht="15">
      <c r="H743" s="4"/>
    </row>
    <row r="744" spans="8:8" ht="15">
      <c r="H744" s="4"/>
    </row>
    <row r="745" spans="8:8" ht="15">
      <c r="H745" s="4"/>
    </row>
    <row r="746" spans="8:8" ht="15">
      <c r="H746" s="4"/>
    </row>
    <row r="747" spans="8:8" ht="15">
      <c r="H747" s="4"/>
    </row>
    <row r="748" spans="8:8" ht="15">
      <c r="H748" s="4"/>
    </row>
    <row r="749" spans="8:8" ht="15">
      <c r="H749" s="4"/>
    </row>
    <row r="750" spans="8:8" ht="15">
      <c r="H750" s="4"/>
    </row>
    <row r="751" spans="8:8" ht="15">
      <c r="H751" s="4"/>
    </row>
    <row r="752" spans="8:8" ht="15">
      <c r="H752" s="4"/>
    </row>
    <row r="753" spans="8:8" ht="15">
      <c r="H753" s="4"/>
    </row>
    <row r="754" spans="8:8" ht="15">
      <c r="H754" s="4"/>
    </row>
    <row r="755" spans="8:8" ht="15">
      <c r="H755" s="4"/>
    </row>
    <row r="756" spans="8:8" ht="15">
      <c r="H756" s="4"/>
    </row>
    <row r="757" spans="8:8" ht="15">
      <c r="H757" s="4"/>
    </row>
    <row r="758" spans="8:8" ht="15">
      <c r="H758" s="4"/>
    </row>
    <row r="759" spans="8:8" ht="15">
      <c r="H759" s="4"/>
    </row>
    <row r="760" spans="8:8" ht="15">
      <c r="H760" s="4"/>
    </row>
    <row r="761" spans="8:8" ht="15">
      <c r="H761" s="4"/>
    </row>
    <row r="762" spans="8:8" ht="15">
      <c r="H762" s="4"/>
    </row>
    <row r="763" spans="8:8" ht="15">
      <c r="H763" s="4"/>
    </row>
    <row r="764" spans="8:8" ht="15">
      <c r="H764" s="4"/>
    </row>
    <row r="765" spans="8:8" ht="15">
      <c r="H765" s="4"/>
    </row>
    <row r="766" spans="8:8" ht="15">
      <c r="H766" s="4"/>
    </row>
    <row r="767" spans="8:8" ht="15">
      <c r="H767" s="4"/>
    </row>
    <row r="768" spans="8:8" ht="15">
      <c r="H768" s="4"/>
    </row>
    <row r="769" spans="8:8" ht="15">
      <c r="H769" s="4"/>
    </row>
    <row r="770" spans="8:8" ht="15">
      <c r="H770" s="4"/>
    </row>
    <row r="771" spans="8:8" ht="15">
      <c r="H771" s="4"/>
    </row>
    <row r="772" spans="8:8" ht="15">
      <c r="H772" s="4"/>
    </row>
    <row r="773" spans="8:8" ht="15">
      <c r="H773" s="4"/>
    </row>
    <row r="774" spans="8:8" ht="15">
      <c r="H774" s="4"/>
    </row>
    <row r="775" spans="8:8" ht="15">
      <c r="H775" s="4"/>
    </row>
    <row r="776" spans="8:8" ht="15">
      <c r="H776" s="4"/>
    </row>
    <row r="777" spans="8:8" ht="15">
      <c r="H777" s="4"/>
    </row>
    <row r="778" spans="8:8" ht="15">
      <c r="H778" s="4"/>
    </row>
    <row r="779" spans="8:8" ht="15">
      <c r="H779" s="4"/>
    </row>
    <row r="780" spans="8:8" ht="15">
      <c r="H780" s="4"/>
    </row>
    <row r="781" spans="8:8" ht="15">
      <c r="H781" s="4"/>
    </row>
    <row r="782" spans="8:8" ht="15">
      <c r="H782" s="4"/>
    </row>
    <row r="783" spans="8:8" ht="15">
      <c r="H783" s="4"/>
    </row>
    <row r="784" spans="8:8" ht="15">
      <c r="H784" s="4"/>
    </row>
    <row r="785" spans="8:8" ht="15">
      <c r="H785" s="4"/>
    </row>
    <row r="786" spans="8:8" ht="15">
      <c r="H786" s="4"/>
    </row>
    <row r="787" spans="8:8" ht="15">
      <c r="H787" s="4"/>
    </row>
    <row r="788" spans="8:8" ht="15">
      <c r="H788" s="4"/>
    </row>
    <row r="789" spans="8:8" ht="15">
      <c r="H789" s="4"/>
    </row>
    <row r="790" spans="8:8" ht="15">
      <c r="H790" s="4"/>
    </row>
    <row r="791" spans="8:8" ht="15">
      <c r="H791" s="4"/>
    </row>
    <row r="792" spans="8:8" ht="15">
      <c r="H792" s="4"/>
    </row>
    <row r="793" spans="8:8" ht="15">
      <c r="H793" s="4"/>
    </row>
    <row r="794" spans="8:8" ht="15">
      <c r="H794" s="4"/>
    </row>
    <row r="795" spans="8:8" ht="15">
      <c r="H795" s="4"/>
    </row>
    <row r="796" spans="8:8" ht="15">
      <c r="H796" s="4"/>
    </row>
    <row r="797" spans="8:8" ht="15">
      <c r="H797" s="4"/>
    </row>
    <row r="798" spans="8:8" ht="15">
      <c r="H798" s="4"/>
    </row>
    <row r="799" spans="8:8" ht="15">
      <c r="H799" s="4"/>
    </row>
    <row r="800" spans="8:8" ht="15">
      <c r="H800" s="4"/>
    </row>
    <row r="801" spans="8:8" ht="15">
      <c r="H801" s="4"/>
    </row>
    <row r="802" spans="8:8" ht="15">
      <c r="H802" s="4"/>
    </row>
    <row r="803" spans="8:8" ht="15">
      <c r="H803" s="4"/>
    </row>
    <row r="804" spans="8:8" ht="15">
      <c r="H804" s="4"/>
    </row>
    <row r="805" spans="8:8" ht="15">
      <c r="H805" s="4"/>
    </row>
    <row r="806" spans="8:8" ht="15">
      <c r="H806" s="4"/>
    </row>
    <row r="807" spans="8:8" ht="15">
      <c r="H807" s="4"/>
    </row>
    <row r="808" spans="8:8" ht="15">
      <c r="H808" s="4"/>
    </row>
    <row r="809" spans="8:8" ht="15">
      <c r="H809" s="4"/>
    </row>
    <row r="810" spans="8:8" ht="15">
      <c r="H810" s="4"/>
    </row>
    <row r="811" spans="8:8" ht="15">
      <c r="H811" s="4"/>
    </row>
    <row r="812" spans="8:8" ht="15">
      <c r="H812" s="4"/>
    </row>
    <row r="813" spans="8:8" ht="15">
      <c r="H813" s="4"/>
    </row>
    <row r="814" spans="8:8" ht="15">
      <c r="H814" s="4"/>
    </row>
    <row r="815" spans="8:8" ht="15">
      <c r="H815" s="4"/>
    </row>
    <row r="816" spans="8:8" ht="15">
      <c r="H816" s="4"/>
    </row>
    <row r="817" spans="8:8" ht="15">
      <c r="H817" s="4"/>
    </row>
    <row r="818" spans="8:8" ht="15">
      <c r="H818" s="4"/>
    </row>
    <row r="819" spans="8:8" ht="15">
      <c r="H819" s="4"/>
    </row>
    <row r="820" spans="8:8" ht="15">
      <c r="H820" s="4"/>
    </row>
    <row r="821" spans="8:8" ht="15">
      <c r="H821" s="4"/>
    </row>
    <row r="822" spans="8:8" ht="15">
      <c r="H822" s="4"/>
    </row>
    <row r="823" spans="8:8" ht="15">
      <c r="H823" s="4"/>
    </row>
    <row r="824" spans="8:8" ht="15">
      <c r="H824" s="4"/>
    </row>
    <row r="825" spans="8:8" ht="15">
      <c r="H825" s="4"/>
    </row>
    <row r="826" spans="8:8" ht="15">
      <c r="H826" s="4"/>
    </row>
    <row r="827" spans="8:8" ht="15">
      <c r="H827" s="4"/>
    </row>
    <row r="828" spans="8:8" ht="15">
      <c r="H828" s="4"/>
    </row>
    <row r="829" spans="8:8" ht="15">
      <c r="H829" s="4"/>
    </row>
    <row r="830" spans="8:8" ht="15">
      <c r="H830" s="4"/>
    </row>
    <row r="831" spans="8:8" ht="15">
      <c r="H831" s="4"/>
    </row>
    <row r="832" spans="8:8" ht="15">
      <c r="H832" s="4"/>
    </row>
    <row r="833" spans="8:8" ht="15">
      <c r="H833" s="4"/>
    </row>
    <row r="834" spans="8:8" ht="15">
      <c r="H834" s="4"/>
    </row>
    <row r="835" spans="8:8" ht="15">
      <c r="H835" s="4"/>
    </row>
    <row r="836" spans="8:8" ht="15">
      <c r="H836" s="4"/>
    </row>
    <row r="837" spans="8:8" ht="15">
      <c r="H837" s="4"/>
    </row>
    <row r="838" spans="8:8" ht="15">
      <c r="H838" s="4"/>
    </row>
    <row r="839" spans="8:8" ht="15">
      <c r="H839" s="4"/>
    </row>
    <row r="840" spans="8:8" ht="15">
      <c r="H840" s="4"/>
    </row>
    <row r="841" spans="8:8" ht="15">
      <c r="H841" s="4"/>
    </row>
    <row r="842" spans="8:8" ht="15">
      <c r="H842" s="4"/>
    </row>
    <row r="843" spans="8:8" ht="15">
      <c r="H843" s="4"/>
    </row>
    <row r="844" spans="8:8" ht="15">
      <c r="H844" s="4"/>
    </row>
    <row r="845" spans="8:8" ht="15">
      <c r="H845" s="4"/>
    </row>
    <row r="846" spans="8:8" ht="15">
      <c r="H846" s="4"/>
    </row>
    <row r="847" spans="8:8" ht="15">
      <c r="H847" s="4"/>
    </row>
    <row r="848" spans="8:8" ht="15">
      <c r="H848" s="4"/>
    </row>
    <row r="849" spans="8:8" ht="15">
      <c r="H849" s="4"/>
    </row>
    <row r="850" spans="8:8" ht="15">
      <c r="H850" s="4"/>
    </row>
    <row r="851" spans="8:8" ht="15">
      <c r="H851" s="4"/>
    </row>
    <row r="852" spans="8:8" ht="15">
      <c r="H852" s="4"/>
    </row>
    <row r="853" spans="8:8" ht="15">
      <c r="H853" s="4"/>
    </row>
    <row r="854" spans="8:8" ht="15">
      <c r="H854" s="4"/>
    </row>
    <row r="855" spans="8:8" ht="15">
      <c r="H855" s="4"/>
    </row>
    <row r="856" spans="8:8" ht="15">
      <c r="H856" s="4"/>
    </row>
    <row r="857" spans="8:8" ht="15">
      <c r="H857" s="4"/>
    </row>
    <row r="858" spans="8:8" ht="15">
      <c r="H858" s="4"/>
    </row>
    <row r="859" spans="8:8" ht="15">
      <c r="H859" s="4"/>
    </row>
    <row r="860" spans="8:8" ht="15">
      <c r="H860" s="4"/>
    </row>
    <row r="861" spans="8:8" ht="15">
      <c r="H861" s="4"/>
    </row>
    <row r="862" spans="8:8" ht="15">
      <c r="H862" s="4"/>
    </row>
    <row r="863" spans="8:8" ht="15">
      <c r="H863" s="4"/>
    </row>
    <row r="864" spans="8:8" ht="15">
      <c r="H864" s="4"/>
    </row>
    <row r="865" spans="8:8" ht="15">
      <c r="H865" s="4"/>
    </row>
    <row r="866" spans="8:8" ht="15">
      <c r="H866" s="4"/>
    </row>
    <row r="867" spans="8:8" ht="15">
      <c r="H867" s="4"/>
    </row>
    <row r="868" spans="8:8" ht="15">
      <c r="H868" s="4"/>
    </row>
    <row r="869" spans="8:8" ht="15">
      <c r="H869" s="4"/>
    </row>
    <row r="870" spans="8:8" ht="15">
      <c r="H870" s="4"/>
    </row>
    <row r="871" spans="8:8" ht="15">
      <c r="H871" s="4"/>
    </row>
    <row r="872" spans="8:8" ht="15">
      <c r="H872" s="4"/>
    </row>
    <row r="873" spans="8:8" ht="15">
      <c r="H873" s="4"/>
    </row>
    <row r="874" spans="8:8" ht="15">
      <c r="H874" s="4"/>
    </row>
    <row r="875" spans="8:8" ht="15">
      <c r="H875" s="4"/>
    </row>
    <row r="876" spans="8:8" ht="15">
      <c r="H876" s="4"/>
    </row>
    <row r="877" spans="8:8" ht="15">
      <c r="H877" s="4"/>
    </row>
    <row r="878" spans="8:8" ht="15">
      <c r="H878" s="4"/>
    </row>
    <row r="879" spans="8:8" ht="15">
      <c r="H879" s="4"/>
    </row>
    <row r="880" spans="8:8" ht="15">
      <c r="H880" s="4"/>
    </row>
    <row r="881" spans="8:8" ht="15">
      <c r="H881" s="4"/>
    </row>
    <row r="882" spans="8:8" ht="15">
      <c r="H882" s="4"/>
    </row>
    <row r="883" spans="8:8" ht="15">
      <c r="H883" s="4"/>
    </row>
    <row r="884" spans="8:8" ht="15">
      <c r="H884" s="4"/>
    </row>
    <row r="885" spans="8:8" ht="15">
      <c r="H885" s="4"/>
    </row>
    <row r="886" spans="8:8" ht="15">
      <c r="H886" s="4"/>
    </row>
    <row r="887" spans="8:8" ht="15">
      <c r="H887" s="4"/>
    </row>
    <row r="888" spans="8:8" ht="15">
      <c r="H888" s="4"/>
    </row>
    <row r="889" spans="8:8" ht="15">
      <c r="H889" s="4"/>
    </row>
    <row r="890" spans="8:8" ht="15">
      <c r="H890" s="4"/>
    </row>
    <row r="891" spans="8:8" ht="15">
      <c r="H891" s="4"/>
    </row>
    <row r="892" spans="8:8" ht="15">
      <c r="H892" s="4"/>
    </row>
    <row r="893" spans="8:8" ht="15">
      <c r="H893" s="4"/>
    </row>
    <row r="894" spans="8:8" ht="15">
      <c r="H894" s="4"/>
    </row>
    <row r="895" spans="8:8" ht="15">
      <c r="H895" s="4"/>
    </row>
    <row r="896" spans="8:8" ht="15">
      <c r="H896" s="4"/>
    </row>
    <row r="897" spans="8:8" ht="15">
      <c r="H897" s="4"/>
    </row>
    <row r="898" spans="8:8" ht="15">
      <c r="H898" s="4"/>
    </row>
    <row r="899" spans="8:8" ht="15">
      <c r="H899" s="4"/>
    </row>
    <row r="900" spans="8:8" ht="15">
      <c r="H900" s="4"/>
    </row>
    <row r="901" spans="8:8" ht="15">
      <c r="H901" s="4"/>
    </row>
    <row r="902" spans="8:8" ht="15">
      <c r="H902" s="4"/>
    </row>
    <row r="903" spans="8:8" ht="15">
      <c r="H903" s="4"/>
    </row>
    <row r="904" spans="8:8" ht="15">
      <c r="H904" s="4"/>
    </row>
    <row r="905" spans="8:8" ht="15">
      <c r="H905" s="4"/>
    </row>
    <row r="906" spans="8:8" ht="15">
      <c r="H906" s="4"/>
    </row>
    <row r="907" spans="8:8" ht="15">
      <c r="H907" s="4"/>
    </row>
    <row r="908" spans="8:8" ht="15">
      <c r="H908" s="4"/>
    </row>
    <row r="909" spans="8:8" ht="15">
      <c r="H909" s="4"/>
    </row>
    <row r="910" spans="8:8" ht="15">
      <c r="H910" s="4"/>
    </row>
    <row r="911" spans="8:8" ht="15">
      <c r="H911" s="4"/>
    </row>
    <row r="912" spans="8:8" ht="15">
      <c r="H912" s="4"/>
    </row>
    <row r="913" spans="8:8" ht="15">
      <c r="H913" s="4"/>
    </row>
    <row r="914" spans="8:8" ht="15">
      <c r="H914" s="4"/>
    </row>
    <row r="915" spans="8:8" ht="15">
      <c r="H915" s="4"/>
    </row>
    <row r="916" spans="8:8" ht="15">
      <c r="H916" s="4"/>
    </row>
    <row r="917" spans="8:8" ht="15">
      <c r="H917" s="4"/>
    </row>
    <row r="918" spans="8:8" ht="15">
      <c r="H918" s="4"/>
    </row>
    <row r="919" spans="8:8" ht="15">
      <c r="H919" s="4"/>
    </row>
    <row r="920" spans="8:8" ht="15">
      <c r="H920" s="4"/>
    </row>
    <row r="921" spans="8:8" ht="15">
      <c r="H921" s="4"/>
    </row>
    <row r="922" spans="8:8" ht="15">
      <c r="H922" s="4"/>
    </row>
    <row r="923" spans="8:8" ht="15">
      <c r="H923" s="4"/>
    </row>
    <row r="924" spans="8:8" ht="15">
      <c r="H924" s="4"/>
    </row>
    <row r="925" spans="8:8" ht="15">
      <c r="H925" s="4"/>
    </row>
    <row r="926" spans="8:8" ht="15">
      <c r="H926" s="4"/>
    </row>
    <row r="927" spans="8:8" ht="15">
      <c r="H927" s="4"/>
    </row>
    <row r="928" spans="8:8" ht="15">
      <c r="H928" s="4"/>
    </row>
    <row r="929" spans="8:8" ht="15">
      <c r="H929" s="4"/>
    </row>
    <row r="930" spans="8:8" ht="15">
      <c r="H930" s="4"/>
    </row>
    <row r="931" spans="8:8" ht="15">
      <c r="H931" s="4"/>
    </row>
    <row r="932" spans="8:8" ht="15">
      <c r="H932" s="4"/>
    </row>
    <row r="933" spans="8:8" ht="15">
      <c r="H933" s="4"/>
    </row>
    <row r="934" spans="8:8" ht="15">
      <c r="H934" s="4"/>
    </row>
    <row r="935" spans="8:8" ht="15">
      <c r="H935" s="4"/>
    </row>
    <row r="936" spans="8:8" ht="15">
      <c r="H936" s="4"/>
    </row>
    <row r="937" spans="8:8" ht="15">
      <c r="H937" s="4"/>
    </row>
    <row r="938" spans="8:8" ht="15">
      <c r="H938" s="4"/>
    </row>
    <row r="939" spans="8:8" ht="15">
      <c r="H939" s="4"/>
    </row>
    <row r="940" spans="8:8" ht="15">
      <c r="H940" s="4"/>
    </row>
    <row r="941" spans="8:8" ht="15">
      <c r="H941" s="4"/>
    </row>
    <row r="942" spans="8:8" ht="15">
      <c r="H942" s="4"/>
    </row>
    <row r="943" spans="8:8" ht="15">
      <c r="H943" s="4"/>
    </row>
    <row r="944" spans="8:8" ht="15">
      <c r="H944" s="4"/>
    </row>
    <row r="945" spans="8:8" ht="15">
      <c r="H945" s="4"/>
    </row>
    <row r="946" spans="8:8" ht="15">
      <c r="H946" s="4"/>
    </row>
    <row r="947" spans="8:8" ht="15">
      <c r="H947" s="4"/>
    </row>
    <row r="948" spans="8:8" ht="15">
      <c r="H948" s="4"/>
    </row>
    <row r="949" spans="8:8" ht="15">
      <c r="H949" s="4"/>
    </row>
    <row r="950" spans="8:8" ht="15">
      <c r="H950" s="4"/>
    </row>
    <row r="951" spans="8:8" ht="15">
      <c r="H951" s="4"/>
    </row>
    <row r="952" spans="8:8" ht="15">
      <c r="H952" s="4"/>
    </row>
    <row r="953" spans="8:8" ht="15">
      <c r="H953" s="4"/>
    </row>
    <row r="954" spans="8:8" ht="15">
      <c r="H954" s="4"/>
    </row>
    <row r="955" spans="8:8" ht="15">
      <c r="H955" s="4"/>
    </row>
    <row r="956" spans="8:8" ht="15">
      <c r="H956" s="4"/>
    </row>
    <row r="957" spans="8:8" ht="15">
      <c r="H957" s="4"/>
    </row>
    <row r="958" spans="8:8" ht="15">
      <c r="H958" s="4"/>
    </row>
    <row r="959" spans="8:8" ht="15">
      <c r="H959" s="4"/>
    </row>
    <row r="960" spans="8:8" ht="15">
      <c r="H960" s="4"/>
    </row>
    <row r="961" spans="8:8" ht="15">
      <c r="H961" s="4"/>
    </row>
    <row r="962" spans="8:8" ht="15">
      <c r="H962" s="4"/>
    </row>
    <row r="963" spans="8:8" ht="15">
      <c r="H963" s="4"/>
    </row>
    <row r="964" spans="8:8" ht="15">
      <c r="H964" s="4"/>
    </row>
    <row r="965" spans="8:8" ht="15">
      <c r="H965" s="4"/>
    </row>
    <row r="966" spans="8:8" ht="15">
      <c r="H966" s="4"/>
    </row>
    <row r="967" spans="8:8" ht="15">
      <c r="H967" s="4"/>
    </row>
    <row r="968" spans="8:8" ht="15">
      <c r="H968" s="4"/>
    </row>
    <row r="969" spans="8:8" ht="15">
      <c r="H969" s="4"/>
    </row>
    <row r="970" spans="8:8" ht="15">
      <c r="H970" s="4"/>
    </row>
    <row r="971" spans="8:8" ht="15">
      <c r="H971" s="4"/>
    </row>
    <row r="972" spans="8:8" ht="15">
      <c r="H972" s="4"/>
    </row>
    <row r="973" spans="8:8" ht="15">
      <c r="H973" s="4"/>
    </row>
    <row r="974" spans="8:8" ht="15">
      <c r="H974" s="4"/>
    </row>
    <row r="975" spans="8:8" ht="15">
      <c r="H975" s="4"/>
    </row>
    <row r="976" spans="8:8" ht="15">
      <c r="H976" s="4"/>
    </row>
    <row r="977" spans="8:8" ht="15">
      <c r="H977" s="4"/>
    </row>
    <row r="978" spans="8:8" ht="15">
      <c r="H978" s="4"/>
    </row>
    <row r="979" spans="8:8" ht="15">
      <c r="H979" s="4"/>
    </row>
    <row r="980" spans="8:8" ht="15">
      <c r="H980" s="4"/>
    </row>
    <row r="981" spans="8:8" ht="15">
      <c r="H981" s="4"/>
    </row>
    <row r="982" spans="8:8" ht="15">
      <c r="H982" s="4"/>
    </row>
    <row r="983" spans="8:8" ht="15">
      <c r="H983" s="4"/>
    </row>
    <row r="984" spans="8:8" ht="15">
      <c r="H984" s="4"/>
    </row>
    <row r="985" spans="8:8" ht="15">
      <c r="H985" s="4"/>
    </row>
    <row r="986" spans="8:8" ht="15">
      <c r="H986" s="4"/>
    </row>
    <row r="987" spans="8:8" ht="15">
      <c r="H987" s="4"/>
    </row>
    <row r="988" spans="8:8" ht="15">
      <c r="H988" s="4"/>
    </row>
    <row r="989" spans="8:8" ht="15">
      <c r="H989" s="4"/>
    </row>
    <row r="990" spans="8:8" ht="15">
      <c r="H990" s="4"/>
    </row>
    <row r="991" spans="8:8" ht="15">
      <c r="H991" s="4"/>
    </row>
    <row r="992" spans="8:8" ht="15">
      <c r="H992" s="4"/>
    </row>
    <row r="993" spans="8:8" ht="15">
      <c r="H993" s="4"/>
    </row>
    <row r="994" spans="8:8" ht="15">
      <c r="H994" s="4"/>
    </row>
    <row r="995" spans="8:8" ht="15">
      <c r="H995" s="4"/>
    </row>
    <row r="996" spans="8:8" ht="15">
      <c r="H996" s="4"/>
    </row>
    <row r="997" spans="8:8" ht="15">
      <c r="H997" s="4"/>
    </row>
    <row r="998" spans="8:8" ht="15">
      <c r="H998" s="4"/>
    </row>
    <row r="999" spans="8:8" ht="15">
      <c r="H999" s="4"/>
    </row>
    <row r="1000" spans="8:8" ht="15">
      <c r="H1000" s="4"/>
    </row>
    <row r="1001" spans="8:8" ht="15">
      <c r="H1001" s="4"/>
    </row>
    <row r="1002" spans="8:8" ht="15">
      <c r="H1002" s="4"/>
    </row>
    <row r="1003" spans="8:8" ht="15">
      <c r="H1003" s="4"/>
    </row>
    <row r="1004" spans="8:8" ht="15">
      <c r="H1004" s="4"/>
    </row>
    <row r="1005" spans="8:8" ht="15">
      <c r="H1005" s="4"/>
    </row>
    <row r="1006" spans="8:8" ht="15">
      <c r="H1006" s="4"/>
    </row>
    <row r="1007" spans="8:8" ht="15">
      <c r="H1007" s="4"/>
    </row>
    <row r="1008" spans="8:8" ht="15">
      <c r="H1008" s="4"/>
    </row>
    <row r="1009" spans="8:8" ht="15">
      <c r="H1009" s="4"/>
    </row>
    <row r="1010" spans="8:8" ht="15">
      <c r="H1010" s="4"/>
    </row>
    <row r="1011" spans="8:8" ht="15">
      <c r="H1011" s="4"/>
    </row>
    <row r="1012" spans="8:8" ht="15">
      <c r="H1012" s="4"/>
    </row>
    <row r="1013" spans="8:8" ht="15">
      <c r="H1013" s="4"/>
    </row>
    <row r="1014" spans="8:8" ht="15">
      <c r="H1014" s="4"/>
    </row>
    <row r="1015" spans="8:8" ht="15">
      <c r="H1015" s="4"/>
    </row>
    <row r="1016" spans="8:8" ht="15">
      <c r="H1016" s="4"/>
    </row>
    <row r="1017" spans="8:8" ht="15">
      <c r="H1017" s="4"/>
    </row>
    <row r="1018" spans="8:8" ht="15">
      <c r="H1018" s="4"/>
    </row>
    <row r="1019" spans="8:8" ht="15">
      <c r="H1019" s="4"/>
    </row>
    <row r="1020" spans="8:8" ht="15">
      <c r="H1020" s="4"/>
    </row>
    <row r="1021" spans="8:8" ht="15">
      <c r="H1021" s="4"/>
    </row>
    <row r="1022" spans="8:8" ht="15">
      <c r="H1022" s="4"/>
    </row>
    <row r="1023" spans="8:8" ht="15">
      <c r="H1023" s="4"/>
    </row>
    <row r="1024" spans="8:8" ht="15">
      <c r="H1024" s="4"/>
    </row>
    <row r="1025" spans="8:8" ht="15">
      <c r="H1025" s="4"/>
    </row>
    <row r="1026" spans="8:8" ht="15">
      <c r="H1026" s="4"/>
    </row>
    <row r="1027" spans="8:8" ht="15">
      <c r="H1027" s="4"/>
    </row>
    <row r="1028" spans="8:8" ht="15">
      <c r="H1028" s="4"/>
    </row>
    <row r="1029" spans="8:8" ht="15">
      <c r="H1029" s="4"/>
    </row>
    <row r="1030" spans="8:8" ht="15">
      <c r="H1030" s="4"/>
    </row>
    <row r="1031" spans="8:8" ht="15">
      <c r="H1031" s="4"/>
    </row>
    <row r="1032" spans="8:8" ht="15">
      <c r="H1032" s="4"/>
    </row>
    <row r="1033" spans="8:8" ht="15">
      <c r="H1033" s="4"/>
    </row>
    <row r="1034" spans="8:8" ht="15">
      <c r="H1034" s="4"/>
    </row>
    <row r="1035" spans="8:8" ht="15">
      <c r="H1035" s="4"/>
    </row>
    <row r="1036" spans="8:8" ht="15">
      <c r="H1036" s="4"/>
    </row>
    <row r="1037" spans="8:8" ht="15">
      <c r="H1037" s="4"/>
    </row>
    <row r="1038" spans="8:8" ht="15">
      <c r="H1038" s="4"/>
    </row>
    <row r="1039" spans="8:8" ht="15">
      <c r="H1039" s="4"/>
    </row>
    <row r="1040" spans="8:8" ht="15">
      <c r="H1040" s="4"/>
    </row>
    <row r="1041" spans="8:8" ht="15">
      <c r="H1041" s="4"/>
    </row>
    <row r="1042" spans="8:8" ht="15">
      <c r="H1042" s="4"/>
    </row>
    <row r="1043" spans="8:8" ht="15">
      <c r="H1043" s="4"/>
    </row>
    <row r="1044" spans="8:8" ht="15">
      <c r="H1044" s="4"/>
    </row>
    <row r="1045" spans="8:8" ht="15">
      <c r="H1045" s="4"/>
    </row>
    <row r="1046" spans="8:8" ht="15">
      <c r="H1046" s="4"/>
    </row>
    <row r="1047" spans="8:8" ht="15">
      <c r="H1047" s="4"/>
    </row>
    <row r="1048" spans="8:8" ht="15">
      <c r="H1048" s="4"/>
    </row>
    <row r="1049" spans="8:8" ht="15">
      <c r="H1049" s="4"/>
    </row>
    <row r="1050" spans="8:8" ht="15">
      <c r="H1050" s="4"/>
    </row>
    <row r="1051" spans="8:8" ht="15">
      <c r="H1051" s="4"/>
    </row>
    <row r="1052" spans="8:8" ht="15">
      <c r="H1052" s="4"/>
    </row>
    <row r="1053" spans="8:8" ht="15">
      <c r="H1053" s="4"/>
    </row>
    <row r="1054" spans="8:8" ht="15">
      <c r="H1054" s="4"/>
    </row>
    <row r="1055" spans="8:8" ht="15">
      <c r="H1055" s="4"/>
    </row>
    <row r="1056" spans="8:8" ht="15">
      <c r="H1056" s="4"/>
    </row>
    <row r="1057" spans="8:8" ht="15">
      <c r="H1057" s="4"/>
    </row>
    <row r="1058" spans="8:8" ht="15">
      <c r="H1058" s="4"/>
    </row>
    <row r="1059" spans="8:8" ht="15">
      <c r="H1059" s="4"/>
    </row>
    <row r="1060" spans="8:8" ht="15">
      <c r="H1060" s="4"/>
    </row>
    <row r="1061" spans="8:8" ht="15">
      <c r="H1061" s="4"/>
    </row>
    <row r="1062" spans="8:8" ht="15">
      <c r="H1062" s="4"/>
    </row>
    <row r="1063" spans="8:8" ht="15">
      <c r="H1063" s="4"/>
    </row>
    <row r="1064" spans="8:8" ht="15">
      <c r="H1064" s="4"/>
    </row>
    <row r="1065" spans="8:8" ht="15">
      <c r="H1065" s="4"/>
    </row>
    <row r="1066" spans="8:8" ht="15">
      <c r="H1066" s="4"/>
    </row>
    <row r="1067" spans="8:8" ht="15">
      <c r="H1067" s="4"/>
    </row>
    <row r="1068" spans="8:8" ht="15">
      <c r="H1068" s="4"/>
    </row>
    <row r="1069" spans="8:8" ht="15">
      <c r="H1069" s="4"/>
    </row>
    <row r="1070" spans="8:8" ht="15">
      <c r="H1070" s="4"/>
    </row>
    <row r="1071" spans="8:8" ht="15">
      <c r="H1071" s="4"/>
    </row>
    <row r="1072" spans="8:8" ht="15">
      <c r="H1072" s="4"/>
    </row>
    <row r="1073" spans="8:8" ht="15">
      <c r="H1073" s="4"/>
    </row>
    <row r="1074" spans="8:8" ht="15">
      <c r="H1074" s="4"/>
    </row>
    <row r="1075" spans="8:8" ht="15">
      <c r="H1075" s="4"/>
    </row>
    <row r="1076" spans="8:8" ht="15">
      <c r="H1076" s="4"/>
    </row>
    <row r="1077" spans="8:8" ht="15">
      <c r="H1077" s="4"/>
    </row>
    <row r="1078" spans="8:8" ht="15">
      <c r="H1078" s="4"/>
    </row>
    <row r="1079" spans="8:8" ht="15">
      <c r="H1079" s="4"/>
    </row>
    <row r="1080" spans="8:8" ht="15">
      <c r="H1080" s="4"/>
    </row>
    <row r="1081" spans="8:8" ht="15">
      <c r="H1081" s="4"/>
    </row>
    <row r="1082" spans="8:8" ht="15">
      <c r="H1082" s="4"/>
    </row>
    <row r="1083" spans="8:8" ht="15">
      <c r="H1083" s="4"/>
    </row>
    <row r="1084" spans="8:8" ht="15">
      <c r="H1084" s="4"/>
    </row>
    <row r="1085" spans="8:8" ht="15">
      <c r="H1085" s="4"/>
    </row>
    <row r="1086" spans="8:8" ht="15">
      <c r="H1086" s="4"/>
    </row>
    <row r="1087" spans="8:8" ht="15">
      <c r="H1087" s="4"/>
    </row>
    <row r="1088" spans="8:8" ht="15">
      <c r="H1088" s="4"/>
    </row>
    <row r="1089" spans="8:8" ht="15">
      <c r="H1089" s="4"/>
    </row>
    <row r="1090" spans="8:8" ht="15">
      <c r="H1090" s="4"/>
    </row>
    <row r="1091" spans="8:8" ht="15">
      <c r="H1091" s="4"/>
    </row>
    <row r="1092" spans="8:8" ht="15">
      <c r="H1092" s="4"/>
    </row>
    <row r="1093" spans="8:8" ht="15">
      <c r="H1093" s="4"/>
    </row>
    <row r="1094" spans="8:8" ht="15">
      <c r="H1094" s="4"/>
    </row>
    <row r="1095" spans="8:8" ht="15">
      <c r="H1095" s="4"/>
    </row>
    <row r="1096" spans="8:8" ht="15">
      <c r="H1096" s="4"/>
    </row>
    <row r="1097" spans="8:8" ht="15">
      <c r="H1097" s="4"/>
    </row>
    <row r="1098" spans="8:8" ht="15">
      <c r="H1098" s="4"/>
    </row>
    <row r="1099" spans="8:8" ht="15">
      <c r="H1099" s="4"/>
    </row>
    <row r="1100" spans="8:8" ht="15">
      <c r="H1100" s="4"/>
    </row>
    <row r="1101" spans="8:8" ht="15">
      <c r="H1101" s="4"/>
    </row>
    <row r="1102" spans="8:8" ht="15">
      <c r="H1102" s="4"/>
    </row>
    <row r="1103" spans="8:8" ht="15">
      <c r="H1103" s="4"/>
    </row>
    <row r="1104" spans="8:8" ht="15">
      <c r="H1104" s="4"/>
    </row>
    <row r="1105" spans="8:8" ht="15">
      <c r="H1105" s="4"/>
    </row>
    <row r="1106" spans="8:8" ht="15">
      <c r="H1106" s="4"/>
    </row>
    <row r="1107" spans="8:8" ht="15">
      <c r="H1107" s="4"/>
    </row>
    <row r="1108" spans="8:8" ht="15">
      <c r="H1108" s="4"/>
    </row>
    <row r="1109" spans="8:8" ht="15">
      <c r="H1109" s="4"/>
    </row>
    <row r="1110" spans="8:8" ht="15">
      <c r="H1110" s="4"/>
    </row>
    <row r="1111" spans="8:8" ht="15">
      <c r="H1111" s="4"/>
    </row>
    <row r="1112" spans="8:8" ht="15">
      <c r="H1112" s="4"/>
    </row>
    <row r="1113" spans="8:8" ht="15">
      <c r="H1113" s="4"/>
    </row>
    <row r="1114" spans="8:8" ht="15">
      <c r="H1114" s="4"/>
    </row>
    <row r="1115" spans="8:8" ht="15">
      <c r="H1115" s="4"/>
    </row>
    <row r="1116" spans="8:8" ht="15">
      <c r="H1116" s="4"/>
    </row>
    <row r="1117" spans="8:8" ht="15">
      <c r="H1117" s="4"/>
    </row>
    <row r="1118" spans="8:8" ht="15">
      <c r="H1118" s="4"/>
    </row>
    <row r="1119" spans="8:8" ht="15">
      <c r="H1119" s="4"/>
    </row>
    <row r="1120" spans="8:8" ht="15">
      <c r="H1120" s="4"/>
    </row>
    <row r="1121" spans="8:8" ht="15">
      <c r="H1121" s="4"/>
    </row>
    <row r="1122" spans="8:8" ht="15">
      <c r="H1122" s="4"/>
    </row>
    <row r="1123" spans="8:8" ht="15">
      <c r="H1123" s="4"/>
    </row>
    <row r="1124" spans="8:8" ht="15">
      <c r="H1124" s="4"/>
    </row>
    <row r="1125" spans="8:8" ht="15">
      <c r="H1125" s="4"/>
    </row>
    <row r="1126" spans="8:8" ht="15">
      <c r="H1126" s="4"/>
    </row>
    <row r="1127" spans="8:8" ht="15">
      <c r="H1127" s="4"/>
    </row>
    <row r="1128" spans="8:8" ht="15">
      <c r="H1128" s="4"/>
    </row>
    <row r="1129" spans="8:8" ht="15">
      <c r="H1129" s="4"/>
    </row>
    <row r="1130" spans="8:8" ht="15">
      <c r="H1130" s="4"/>
    </row>
    <row r="1131" spans="8:8" ht="15">
      <c r="H1131" s="4"/>
    </row>
    <row r="1132" spans="8:8" ht="15">
      <c r="H1132" s="4"/>
    </row>
    <row r="1133" spans="8:8" ht="15">
      <c r="H1133" s="4"/>
    </row>
    <row r="1134" spans="8:8" ht="15">
      <c r="H1134" s="4"/>
    </row>
    <row r="1135" spans="8:8" ht="15">
      <c r="H1135" s="4"/>
    </row>
    <row r="1136" spans="8:8" ht="15">
      <c r="H1136" s="4"/>
    </row>
    <row r="1137" spans="8:8" ht="15">
      <c r="H1137" s="4"/>
    </row>
    <row r="1138" spans="8:8" ht="15">
      <c r="H1138" s="4"/>
    </row>
    <row r="1139" spans="8:8" ht="15">
      <c r="H1139" s="4"/>
    </row>
    <row r="1140" spans="8:8" ht="15">
      <c r="H1140" s="4"/>
    </row>
    <row r="1141" spans="8:8" ht="15">
      <c r="H1141" s="4"/>
    </row>
    <row r="1142" spans="8:8" ht="15">
      <c r="H1142" s="4"/>
    </row>
    <row r="1143" spans="8:8" ht="15">
      <c r="H1143" s="4"/>
    </row>
    <row r="1144" spans="8:8" ht="15">
      <c r="H1144" s="4"/>
    </row>
    <row r="1145" spans="8:8" ht="15">
      <c r="H1145" s="4"/>
    </row>
    <row r="1146" spans="8:8" ht="15">
      <c r="H1146" s="4"/>
    </row>
    <row r="1147" spans="8:8" ht="15">
      <c r="H1147" s="4"/>
    </row>
    <row r="1148" spans="8:8" ht="15">
      <c r="H1148" s="4"/>
    </row>
    <row r="1149" spans="8:8" ht="15">
      <c r="H1149" s="4"/>
    </row>
    <row r="1150" spans="8:8" ht="15">
      <c r="H1150" s="4"/>
    </row>
    <row r="1151" spans="8:8" ht="15">
      <c r="H1151" s="4"/>
    </row>
    <row r="1152" spans="8:8" ht="15">
      <c r="H1152" s="4"/>
    </row>
    <row r="1153" spans="8:8" ht="15">
      <c r="H1153" s="4"/>
    </row>
    <row r="1154" spans="8:8" ht="15">
      <c r="H1154" s="4"/>
    </row>
    <row r="1155" spans="8:8" ht="15">
      <c r="H1155" s="4"/>
    </row>
    <row r="1156" spans="8:8" ht="15">
      <c r="H1156" s="4"/>
    </row>
    <row r="1157" spans="8:8" ht="15">
      <c r="H1157" s="4"/>
    </row>
    <row r="1158" spans="8:8" ht="15">
      <c r="H1158" s="4"/>
    </row>
    <row r="1159" spans="8:8" ht="15">
      <c r="H1159" s="4"/>
    </row>
    <row r="1160" spans="8:8" ht="15">
      <c r="H1160" s="4"/>
    </row>
    <row r="1161" spans="8:8" ht="15">
      <c r="H1161" s="4"/>
    </row>
    <row r="1162" spans="8:8" ht="15">
      <c r="H1162" s="4"/>
    </row>
    <row r="1163" spans="8:8" ht="15">
      <c r="H1163" s="4"/>
    </row>
    <row r="1164" spans="8:8" ht="15">
      <c r="H1164" s="4"/>
    </row>
    <row r="1165" spans="8:8" ht="15">
      <c r="H1165" s="4"/>
    </row>
    <row r="1166" spans="8:8" ht="15">
      <c r="H1166" s="4"/>
    </row>
    <row r="1167" spans="8:8" ht="15">
      <c r="H1167" s="4"/>
    </row>
    <row r="1168" spans="8:8" ht="15">
      <c r="H1168" s="4"/>
    </row>
    <row r="1169" spans="8:8" ht="15">
      <c r="H1169" s="4"/>
    </row>
    <row r="1170" spans="8:8" ht="15">
      <c r="H1170" s="4"/>
    </row>
    <row r="1171" spans="8:8" ht="15">
      <c r="H1171" s="4"/>
    </row>
    <row r="1172" spans="8:8" ht="15">
      <c r="H1172" s="4"/>
    </row>
    <row r="1173" spans="8:8" ht="15">
      <c r="H1173" s="4"/>
    </row>
    <row r="1174" spans="8:8" ht="15">
      <c r="H1174" s="4"/>
    </row>
    <row r="1175" spans="8:8" ht="15">
      <c r="H1175" s="4"/>
    </row>
    <row r="1176" spans="8:8" ht="15">
      <c r="H1176" s="4"/>
    </row>
    <row r="1177" spans="8:8" ht="15">
      <c r="H1177" s="4"/>
    </row>
    <row r="1178" spans="8:8" ht="15">
      <c r="H1178" s="4"/>
    </row>
    <row r="1179" spans="8:8" ht="15">
      <c r="H1179" s="4"/>
    </row>
    <row r="1180" spans="8:8" ht="15">
      <c r="H1180" s="4"/>
    </row>
    <row r="1181" spans="8:8" ht="15">
      <c r="H1181" s="4"/>
    </row>
    <row r="1182" spans="8:8" ht="15">
      <c r="H1182" s="4"/>
    </row>
    <row r="1183" spans="8:8" ht="15">
      <c r="H1183" s="4"/>
    </row>
    <row r="1184" spans="8:8" ht="15">
      <c r="H1184" s="4"/>
    </row>
    <row r="1185" spans="8:8" ht="15">
      <c r="H1185" s="4"/>
    </row>
    <row r="1186" spans="8:8" ht="15">
      <c r="H1186" s="4"/>
    </row>
    <row r="1187" spans="8:8" ht="15">
      <c r="H1187" s="4"/>
    </row>
    <row r="1188" spans="8:8" ht="15">
      <c r="H1188" s="4"/>
    </row>
    <row r="1189" spans="8:8" ht="15">
      <c r="H1189" s="4"/>
    </row>
    <row r="1190" spans="8:8" ht="15">
      <c r="H1190" s="4"/>
    </row>
    <row r="1191" spans="8:8" ht="15">
      <c r="H1191" s="4"/>
    </row>
    <row r="1192" spans="8:8" ht="15">
      <c r="H1192" s="4"/>
    </row>
    <row r="1193" spans="8:8" ht="15">
      <c r="H1193" s="4"/>
    </row>
    <row r="1194" spans="8:8" ht="15">
      <c r="H1194" s="4"/>
    </row>
    <row r="1195" spans="8:8" ht="15">
      <c r="H1195" s="4"/>
    </row>
    <row r="1196" spans="8:8" ht="15">
      <c r="H1196" s="4"/>
    </row>
    <row r="1197" spans="8:8" ht="15">
      <c r="H1197" s="4"/>
    </row>
    <row r="1198" spans="8:8" ht="15">
      <c r="H1198" s="4"/>
    </row>
    <row r="1199" spans="8:8" ht="15">
      <c r="H1199" s="4"/>
    </row>
    <row r="1200" spans="8:8" ht="15">
      <c r="H1200" s="4"/>
    </row>
    <row r="1201" spans="8:8" ht="15">
      <c r="H1201" s="4"/>
    </row>
    <row r="1202" spans="8:8" ht="15">
      <c r="H1202" s="4"/>
    </row>
    <row r="1203" spans="8:8" ht="15">
      <c r="H1203" s="4"/>
    </row>
    <row r="1204" spans="8:8" ht="15">
      <c r="H1204" s="4"/>
    </row>
    <row r="1205" spans="8:8" ht="15">
      <c r="H1205" s="4"/>
    </row>
    <row r="1206" spans="8:8" ht="15">
      <c r="H1206" s="4"/>
    </row>
    <row r="1207" spans="8:8" ht="15">
      <c r="H1207" s="4"/>
    </row>
    <row r="1208" spans="8:8" ht="15">
      <c r="H1208" s="4"/>
    </row>
    <row r="1209" spans="8:8" ht="15">
      <c r="H1209" s="4"/>
    </row>
    <row r="1210" spans="8:8" ht="15">
      <c r="H1210" s="4"/>
    </row>
    <row r="1211" spans="8:8" ht="15">
      <c r="H1211" s="4"/>
    </row>
    <row r="1212" spans="8:8" ht="15">
      <c r="H1212" s="4"/>
    </row>
    <row r="1213" spans="8:8" ht="15">
      <c r="H1213" s="4"/>
    </row>
    <row r="1214" spans="8:8" ht="15">
      <c r="H1214" s="4"/>
    </row>
    <row r="1215" spans="8:8" ht="15">
      <c r="H1215" s="4"/>
    </row>
    <row r="1216" spans="8:8" ht="15">
      <c r="H1216" s="4"/>
    </row>
    <row r="1217" spans="8:8" ht="15">
      <c r="H1217" s="4"/>
    </row>
    <row r="1218" spans="8:8" ht="15">
      <c r="H1218" s="4"/>
    </row>
    <row r="1219" spans="8:8" ht="15">
      <c r="H1219" s="4"/>
    </row>
    <row r="1220" spans="8:8" ht="15">
      <c r="H1220" s="4"/>
    </row>
    <row r="1221" spans="8:8" ht="15">
      <c r="H1221" s="4"/>
    </row>
    <row r="1222" spans="8:8" ht="15">
      <c r="H1222" s="4"/>
    </row>
    <row r="1223" spans="8:8" ht="15">
      <c r="H1223" s="4"/>
    </row>
    <row r="1224" spans="8:8" ht="15">
      <c r="H1224" s="4"/>
    </row>
    <row r="1225" spans="8:8" ht="15">
      <c r="H1225" s="4"/>
    </row>
    <row r="1226" spans="8:8" ht="15">
      <c r="H1226" s="4"/>
    </row>
    <row r="1227" spans="8:8" ht="15">
      <c r="H1227" s="4"/>
    </row>
    <row r="1228" spans="8:8" ht="15">
      <c r="H1228" s="4"/>
    </row>
    <row r="1229" spans="8:8" ht="15">
      <c r="H1229" s="4"/>
    </row>
    <row r="1230" spans="8:8" ht="15">
      <c r="H1230" s="4"/>
    </row>
    <row r="1231" spans="8:8" ht="15">
      <c r="H1231" s="4"/>
    </row>
    <row r="1232" spans="8:8" ht="15">
      <c r="H1232" s="4"/>
    </row>
    <row r="1233" spans="8:8" ht="15">
      <c r="H1233" s="4"/>
    </row>
    <row r="1234" spans="8:8" ht="15">
      <c r="H1234" s="4"/>
    </row>
    <row r="1235" spans="8:8" ht="15">
      <c r="H1235" s="4"/>
    </row>
    <row r="1236" spans="8:8" ht="15">
      <c r="H1236" s="4"/>
    </row>
    <row r="1237" spans="8:8" ht="15">
      <c r="H1237" s="4"/>
    </row>
    <row r="1238" spans="8:8" ht="15">
      <c r="H1238" s="4"/>
    </row>
    <row r="1239" spans="8:8" ht="15">
      <c r="H1239" s="4"/>
    </row>
    <row r="1240" spans="8:8" ht="15">
      <c r="H1240" s="4"/>
    </row>
    <row r="1241" spans="8:8" ht="15">
      <c r="H1241" s="4"/>
    </row>
    <row r="1242" spans="8:8" ht="15">
      <c r="H1242" s="4"/>
    </row>
    <row r="1243" spans="8:8" ht="15">
      <c r="H1243" s="4"/>
    </row>
    <row r="1244" spans="8:8" ht="15">
      <c r="H1244" s="4"/>
    </row>
    <row r="1245" spans="8:8" ht="15">
      <c r="H1245" s="4"/>
    </row>
    <row r="1246" spans="8:8" ht="15">
      <c r="H1246" s="4"/>
    </row>
    <row r="1247" spans="8:8" ht="15">
      <c r="H1247" s="4"/>
    </row>
    <row r="1248" spans="8:8" ht="15">
      <c r="H1248" s="4"/>
    </row>
    <row r="1249" spans="8:8" ht="15">
      <c r="H1249" s="4"/>
    </row>
    <row r="1250" spans="8:8" ht="15">
      <c r="H1250" s="4"/>
    </row>
    <row r="1251" spans="8:8" ht="15">
      <c r="H1251" s="4"/>
    </row>
    <row r="1252" spans="8:8" ht="15">
      <c r="H1252" s="4"/>
    </row>
    <row r="1253" spans="8:8" ht="15">
      <c r="H1253" s="4"/>
    </row>
    <row r="1254" spans="8:8" ht="15">
      <c r="H1254" s="4"/>
    </row>
    <row r="1255" spans="8:8" ht="15">
      <c r="H1255" s="4"/>
    </row>
    <row r="1256" spans="8:8" ht="15">
      <c r="H1256" s="4"/>
    </row>
    <row r="1257" spans="8:8" ht="15">
      <c r="H1257" s="4"/>
    </row>
    <row r="1258" spans="8:8" ht="15">
      <c r="H1258" s="4"/>
    </row>
    <row r="1259" spans="8:8" ht="15">
      <c r="H1259" s="4"/>
    </row>
    <row r="1260" spans="8:8" ht="15">
      <c r="H1260" s="4"/>
    </row>
    <row r="1261" spans="8:8" ht="15">
      <c r="H1261" s="4"/>
    </row>
    <row r="1262" spans="8:8" ht="15">
      <c r="H1262" s="4"/>
    </row>
    <row r="1263" spans="8:8" ht="15">
      <c r="H1263" s="4"/>
    </row>
    <row r="1264" spans="8:8" ht="15">
      <c r="H1264" s="4"/>
    </row>
    <row r="1265" spans="8:8" ht="15">
      <c r="H1265" s="4"/>
    </row>
    <row r="1266" spans="8:8" ht="15">
      <c r="H1266" s="4"/>
    </row>
    <row r="1267" spans="8:8" ht="15">
      <c r="H1267" s="4"/>
    </row>
    <row r="1268" spans="8:8" ht="15">
      <c r="H1268" s="4"/>
    </row>
    <row r="1269" spans="8:8" ht="15">
      <c r="H1269" s="4"/>
    </row>
    <row r="1270" spans="8:8" ht="15">
      <c r="H1270" s="4"/>
    </row>
    <row r="1271" spans="8:8" ht="15">
      <c r="H1271" s="4"/>
    </row>
    <row r="1272" spans="8:8" ht="15">
      <c r="H1272" s="4"/>
    </row>
    <row r="1273" spans="8:8" ht="15">
      <c r="H1273" s="4"/>
    </row>
    <row r="1274" spans="8:8" ht="15">
      <c r="H1274" s="4"/>
    </row>
    <row r="1275" spans="8:8" ht="15">
      <c r="H1275" s="4"/>
    </row>
    <row r="1276" spans="8:8" ht="15">
      <c r="H1276" s="4"/>
    </row>
    <row r="1277" spans="8:8" ht="15">
      <c r="H1277" s="4"/>
    </row>
    <row r="1278" spans="8:8" ht="15">
      <c r="H1278" s="4"/>
    </row>
    <row r="1279" spans="8:8" ht="15">
      <c r="H1279" s="4"/>
    </row>
    <row r="1280" spans="8:8" ht="15">
      <c r="H1280" s="4"/>
    </row>
    <row r="1281" spans="8:8" ht="15">
      <c r="H1281" s="4"/>
    </row>
    <row r="1282" spans="8:8" ht="15">
      <c r="H1282" s="4"/>
    </row>
    <row r="1283" spans="8:8" ht="15">
      <c r="H1283" s="4"/>
    </row>
    <row r="1284" spans="8:8" ht="15">
      <c r="H1284" s="4"/>
    </row>
    <row r="1285" spans="8:8" ht="15">
      <c r="H1285" s="4"/>
    </row>
    <row r="1286" spans="8:8" ht="15">
      <c r="H1286" s="4"/>
    </row>
    <row r="1287" spans="8:8" ht="15">
      <c r="H1287" s="4"/>
    </row>
    <row r="1288" spans="8:8" ht="15">
      <c r="H1288" s="4"/>
    </row>
    <row r="1289" spans="8:8" ht="15">
      <c r="H1289" s="4"/>
    </row>
    <row r="1290" spans="8:8" ht="15">
      <c r="H1290" s="4"/>
    </row>
    <row r="1291" spans="8:8" ht="15">
      <c r="H1291" s="4"/>
    </row>
    <row r="1292" spans="8:8" ht="15">
      <c r="H1292" s="4"/>
    </row>
    <row r="1293" spans="8:8" ht="15">
      <c r="H1293" s="4"/>
    </row>
    <row r="1294" spans="8:8" ht="15">
      <c r="H1294" s="4"/>
    </row>
    <row r="1295" spans="8:8" ht="15">
      <c r="H1295" s="4"/>
    </row>
    <row r="1296" spans="8:8" ht="15">
      <c r="H1296" s="4"/>
    </row>
    <row r="1297" spans="8:8" ht="15">
      <c r="H1297" s="4"/>
    </row>
    <row r="1298" spans="8:8" ht="15">
      <c r="H1298" s="4"/>
    </row>
    <row r="1299" spans="8:8" ht="15">
      <c r="H1299" s="4"/>
    </row>
    <row r="1300" spans="8:8" ht="15">
      <c r="H1300" s="4"/>
    </row>
    <row r="1301" spans="8:8" ht="15">
      <c r="H1301" s="4"/>
    </row>
    <row r="1302" spans="8:8" ht="15">
      <c r="H1302" s="4"/>
    </row>
    <row r="1303" spans="8:8" ht="15">
      <c r="H1303" s="4"/>
    </row>
    <row r="1304" spans="8:8" ht="15">
      <c r="H1304" s="4"/>
    </row>
    <row r="1305" spans="8:8" ht="15">
      <c r="H1305" s="4"/>
    </row>
    <row r="1306" spans="8:8" ht="15">
      <c r="H1306" s="4"/>
    </row>
    <row r="1307" spans="8:8" ht="15">
      <c r="H1307" s="4"/>
    </row>
    <row r="1308" spans="8:8" ht="15">
      <c r="H1308" s="4"/>
    </row>
    <row r="1309" spans="8:8" ht="15">
      <c r="H1309" s="4"/>
    </row>
    <row r="1310" spans="8:8" ht="15">
      <c r="H1310" s="4"/>
    </row>
    <row r="1311" spans="8:8" ht="15">
      <c r="H1311" s="4"/>
    </row>
    <row r="1312" spans="8:8" ht="15">
      <c r="H1312" s="4"/>
    </row>
    <row r="1313" spans="8:8" ht="15">
      <c r="H1313" s="4"/>
    </row>
    <row r="1314" spans="8:8" ht="15">
      <c r="H1314" s="4"/>
    </row>
    <row r="1315" spans="8:8" ht="15">
      <c r="H1315" s="4"/>
    </row>
    <row r="1316" spans="8:8" ht="15">
      <c r="H1316" s="4"/>
    </row>
    <row r="1317" spans="8:8" ht="15">
      <c r="H1317" s="4"/>
    </row>
    <row r="1318" spans="8:8" ht="15">
      <c r="H1318" s="4"/>
    </row>
    <row r="1319" spans="8:8" ht="15">
      <c r="H1319" s="4"/>
    </row>
    <row r="1320" spans="8:8" ht="15">
      <c r="H1320" s="4"/>
    </row>
    <row r="1321" spans="8:8" ht="15">
      <c r="H1321" s="4"/>
    </row>
    <row r="1322" spans="8:8" ht="15">
      <c r="H1322" s="4"/>
    </row>
    <row r="1323" spans="8:8" ht="15">
      <c r="H1323" s="4"/>
    </row>
    <row r="1324" spans="8:8" ht="15">
      <c r="H1324" s="4"/>
    </row>
    <row r="1325" spans="8:8" ht="15">
      <c r="H1325" s="4"/>
    </row>
    <row r="1326" spans="8:8" ht="15">
      <c r="H1326" s="4"/>
    </row>
    <row r="1327" spans="8:8" ht="15">
      <c r="H1327" s="4"/>
    </row>
    <row r="1328" spans="8:8" ht="15">
      <c r="H1328" s="4"/>
    </row>
    <row r="1329" spans="8:8" ht="15">
      <c r="H1329" s="4"/>
    </row>
    <row r="1330" spans="8:8" ht="15">
      <c r="H1330" s="4"/>
    </row>
    <row r="1331" spans="8:8" ht="15">
      <c r="H1331" s="4"/>
    </row>
    <row r="1332" spans="8:8" ht="15">
      <c r="H1332" s="4"/>
    </row>
    <row r="1333" spans="8:8" ht="15">
      <c r="H1333" s="4"/>
    </row>
    <row r="1334" spans="8:8" ht="15">
      <c r="H1334" s="4"/>
    </row>
    <row r="1335" spans="8:8" ht="15">
      <c r="H1335" s="4"/>
    </row>
    <row r="1336" spans="8:8" ht="15">
      <c r="H1336" s="4"/>
    </row>
    <row r="1337" spans="8:8" ht="15">
      <c r="H1337" s="4"/>
    </row>
    <row r="1338" spans="8:8" ht="15">
      <c r="H1338" s="4"/>
    </row>
    <row r="1339" spans="8:8" ht="15">
      <c r="H1339" s="4"/>
    </row>
    <row r="1340" spans="8:8" ht="15">
      <c r="H1340" s="4"/>
    </row>
    <row r="1341" spans="8:8" ht="15">
      <c r="H1341" s="4"/>
    </row>
    <row r="1342" spans="8:8" ht="15">
      <c r="H1342" s="4"/>
    </row>
    <row r="1343" spans="8:8" ht="15">
      <c r="H1343" s="4"/>
    </row>
    <row r="1344" spans="8:8" ht="15">
      <c r="H1344" s="4"/>
    </row>
    <row r="1345" spans="8:8" ht="15">
      <c r="H1345" s="4"/>
    </row>
    <row r="1346" spans="8:8" ht="15">
      <c r="H1346" s="4"/>
    </row>
    <row r="1347" spans="8:8" ht="15">
      <c r="H1347" s="4"/>
    </row>
    <row r="1348" spans="8:8" ht="15">
      <c r="H1348" s="4"/>
    </row>
    <row r="1349" spans="8:8" ht="15">
      <c r="H1349" s="4"/>
    </row>
    <row r="1350" spans="8:8" ht="15">
      <c r="H1350" s="4"/>
    </row>
    <row r="1351" spans="8:8" ht="15">
      <c r="H1351" s="4"/>
    </row>
    <row r="1352" spans="8:8" ht="15">
      <c r="H1352" s="4"/>
    </row>
    <row r="1353" spans="8:8" ht="15">
      <c r="H1353" s="4"/>
    </row>
    <row r="1354" spans="8:8" ht="15">
      <c r="H1354" s="4"/>
    </row>
    <row r="1355" spans="8:8" ht="15">
      <c r="H1355" s="4"/>
    </row>
    <row r="1356" spans="8:8" ht="15">
      <c r="H1356" s="4"/>
    </row>
    <row r="1357" spans="8:8" ht="15">
      <c r="H1357" s="4"/>
    </row>
    <row r="1358" spans="8:8" ht="15">
      <c r="H1358" s="4"/>
    </row>
    <row r="1359" spans="8:8" ht="15">
      <c r="H1359" s="4"/>
    </row>
    <row r="1360" spans="8:8" ht="15">
      <c r="H1360" s="4"/>
    </row>
    <row r="1361" spans="8:8" ht="15">
      <c r="H1361" s="4"/>
    </row>
    <row r="1362" spans="8:8" ht="15">
      <c r="H1362" s="4"/>
    </row>
    <row r="1363" spans="8:8" ht="15">
      <c r="H1363" s="4"/>
    </row>
    <row r="1364" spans="8:8" ht="15">
      <c r="H1364" s="4"/>
    </row>
    <row r="1365" spans="8:8" ht="15">
      <c r="H1365" s="4"/>
    </row>
    <row r="1366" spans="8:8" ht="15">
      <c r="H1366" s="4"/>
    </row>
    <row r="1367" spans="8:8" ht="15">
      <c r="H1367" s="4"/>
    </row>
    <row r="1368" spans="8:8" ht="15">
      <c r="H1368" s="4"/>
    </row>
    <row r="1369" spans="8:8" ht="15">
      <c r="H1369" s="4"/>
    </row>
    <row r="1370" spans="8:8" ht="15">
      <c r="H1370" s="4"/>
    </row>
    <row r="1371" spans="8:8" ht="15">
      <c r="H1371" s="4"/>
    </row>
    <row r="1372" spans="8:8" ht="15">
      <c r="H1372" s="4"/>
    </row>
    <row r="1373" spans="8:8" ht="15">
      <c r="H1373" s="4"/>
    </row>
    <row r="1374" spans="8:8" ht="15">
      <c r="H1374" s="4"/>
    </row>
    <row r="1375" spans="8:8" ht="15">
      <c r="H1375" s="4"/>
    </row>
    <row r="1376" spans="8:8" ht="15">
      <c r="H1376" s="4"/>
    </row>
    <row r="1377" spans="8:8" ht="15">
      <c r="H1377" s="4"/>
    </row>
    <row r="1378" spans="8:8" ht="15">
      <c r="H1378" s="4"/>
    </row>
    <row r="1379" spans="8:8" ht="15">
      <c r="H1379" s="4"/>
    </row>
    <row r="1380" spans="8:8" ht="15">
      <c r="H1380" s="4"/>
    </row>
    <row r="1381" spans="8:8" ht="15">
      <c r="H1381" s="4"/>
    </row>
    <row r="1382" spans="8:8" ht="15">
      <c r="H1382" s="4"/>
    </row>
    <row r="1383" spans="8:8" ht="15">
      <c r="H1383" s="4"/>
    </row>
    <row r="1384" spans="8:8" ht="15">
      <c r="H1384" s="4"/>
    </row>
    <row r="1385" spans="8:8" ht="15">
      <c r="H1385" s="4"/>
    </row>
    <row r="1386" spans="8:8" ht="15">
      <c r="H1386" s="4"/>
    </row>
    <row r="1387" spans="8:8" ht="15">
      <c r="H1387" s="4"/>
    </row>
    <row r="1388" spans="8:8" ht="15">
      <c r="H1388" s="4"/>
    </row>
    <row r="1389" spans="8:8" ht="15">
      <c r="H1389" s="4"/>
    </row>
    <row r="1390" spans="8:8" ht="15">
      <c r="H1390" s="4"/>
    </row>
    <row r="1391" spans="8:8" ht="15">
      <c r="H1391" s="4"/>
    </row>
    <row r="1392" spans="8:8" ht="15">
      <c r="H1392" s="4"/>
    </row>
    <row r="1393" spans="8:8" ht="15">
      <c r="H1393" s="4"/>
    </row>
    <row r="1394" spans="8:8" ht="15">
      <c r="H1394" s="4"/>
    </row>
    <row r="1395" spans="8:8" ht="15">
      <c r="H1395" s="4"/>
    </row>
    <row r="1396" spans="8:8" ht="15">
      <c r="H1396" s="4"/>
    </row>
    <row r="1397" spans="8:8" ht="15">
      <c r="H1397" s="4"/>
    </row>
    <row r="1398" spans="8:8" ht="15">
      <c r="H1398" s="4"/>
    </row>
    <row r="1399" spans="8:8" ht="15">
      <c r="H1399" s="4"/>
    </row>
    <row r="1400" spans="8:8" ht="15">
      <c r="H1400" s="4"/>
    </row>
    <row r="1401" spans="8:8" ht="15">
      <c r="H1401" s="4"/>
    </row>
    <row r="1402" spans="8:8" ht="15">
      <c r="H1402" s="4"/>
    </row>
    <row r="1403" spans="8:8" ht="15">
      <c r="H1403" s="4"/>
    </row>
    <row r="1404" spans="8:8" ht="15">
      <c r="H1404" s="4"/>
    </row>
    <row r="1405" spans="8:8" ht="15">
      <c r="H1405" s="4"/>
    </row>
    <row r="1406" spans="8:8" ht="15">
      <c r="H1406" s="4"/>
    </row>
    <row r="1407" spans="8:8" ht="15">
      <c r="H1407" s="4"/>
    </row>
    <row r="1408" spans="8:8" ht="15">
      <c r="H1408" s="4"/>
    </row>
    <row r="1409" spans="8:8" ht="15">
      <c r="H1409" s="4"/>
    </row>
    <row r="1410" spans="8:8" ht="15">
      <c r="H1410" s="4"/>
    </row>
    <row r="1411" spans="8:8" ht="15">
      <c r="H1411" s="4"/>
    </row>
    <row r="1412" spans="8:8" ht="15">
      <c r="H1412" s="4"/>
    </row>
    <row r="1413" spans="8:8" ht="15">
      <c r="H1413" s="4"/>
    </row>
    <row r="1414" spans="8:8" ht="15">
      <c r="H1414" s="4"/>
    </row>
    <row r="1415" spans="8:8" ht="15">
      <c r="H1415" s="4"/>
    </row>
    <row r="1416" spans="8:8" ht="15">
      <c r="H1416" s="4"/>
    </row>
    <row r="1417" spans="8:8" ht="15">
      <c r="H1417" s="4"/>
    </row>
    <row r="1418" spans="8:8" ht="15">
      <c r="H1418" s="4"/>
    </row>
    <row r="1419" spans="8:8" ht="15">
      <c r="H1419" s="4"/>
    </row>
    <row r="1420" spans="8:8" ht="15">
      <c r="H1420" s="4"/>
    </row>
    <row r="1421" spans="8:8" ht="15">
      <c r="H1421" s="4"/>
    </row>
    <row r="1422" spans="8:8" ht="15">
      <c r="H1422" s="4"/>
    </row>
    <row r="1423" spans="8:8" ht="15">
      <c r="H1423" s="4"/>
    </row>
    <row r="1424" spans="8:8" ht="15">
      <c r="H1424" s="4"/>
    </row>
    <row r="1425" spans="8:8" ht="15">
      <c r="H1425" s="4"/>
    </row>
    <row r="1426" spans="8:8" ht="15">
      <c r="H1426" s="4"/>
    </row>
    <row r="1427" spans="8:8" ht="15">
      <c r="H1427" s="4"/>
    </row>
    <row r="1428" spans="8:8" ht="15">
      <c r="H1428" s="4"/>
    </row>
    <row r="1429" spans="8:8" ht="15">
      <c r="H1429" s="4"/>
    </row>
    <row r="1430" spans="8:8" ht="15">
      <c r="H1430" s="4"/>
    </row>
    <row r="1431" spans="8:8" ht="15">
      <c r="H1431" s="4"/>
    </row>
    <row r="1432" spans="8:8" ht="15">
      <c r="H1432" s="4"/>
    </row>
    <row r="1433" spans="8:8" ht="15">
      <c r="H1433" s="4"/>
    </row>
    <row r="1434" spans="8:8" ht="15">
      <c r="H1434" s="4"/>
    </row>
    <row r="1435" spans="8:8" ht="15">
      <c r="H1435" s="4"/>
    </row>
    <row r="1436" spans="8:8" ht="15">
      <c r="H1436" s="4"/>
    </row>
    <row r="1437" spans="8:8" ht="15">
      <c r="H1437" s="4"/>
    </row>
    <row r="1438" spans="8:8" ht="15">
      <c r="H1438" s="4"/>
    </row>
    <row r="1439" spans="8:8" ht="15">
      <c r="H1439" s="4"/>
    </row>
    <row r="1440" spans="8:8" ht="15">
      <c r="H1440" s="4"/>
    </row>
    <row r="1441" spans="8:8" ht="15">
      <c r="H1441" s="4"/>
    </row>
    <row r="1442" spans="8:8" ht="15">
      <c r="H1442" s="4"/>
    </row>
    <row r="1443" spans="8:8" ht="15">
      <c r="H1443" s="4"/>
    </row>
    <row r="1444" spans="8:8" ht="15">
      <c r="H1444" s="4"/>
    </row>
    <row r="1445" spans="8:8" ht="15">
      <c r="H1445" s="4"/>
    </row>
    <row r="1446" spans="8:8" ht="15">
      <c r="H1446" s="4"/>
    </row>
    <row r="1447" spans="8:8" ht="15">
      <c r="H1447" s="4"/>
    </row>
    <row r="1448" spans="8:8" ht="15">
      <c r="H1448" s="4"/>
    </row>
    <row r="1449" spans="8:8" ht="15">
      <c r="H1449" s="4"/>
    </row>
    <row r="1450" spans="8:8" ht="15">
      <c r="H1450" s="4"/>
    </row>
    <row r="1451" spans="8:8" ht="15">
      <c r="H1451" s="4"/>
    </row>
    <row r="1452" spans="8:8" ht="15">
      <c r="H1452" s="4"/>
    </row>
    <row r="1453" spans="8:8" ht="15">
      <c r="H1453" s="4"/>
    </row>
    <row r="1454" spans="8:8" ht="15">
      <c r="H1454" s="4"/>
    </row>
    <row r="1455" spans="8:8" ht="15">
      <c r="H1455" s="4"/>
    </row>
    <row r="1456" spans="8:8" ht="15">
      <c r="H1456" s="4"/>
    </row>
    <row r="1457" spans="8:8" ht="15">
      <c r="H1457" s="4"/>
    </row>
    <row r="1458" spans="8:8" ht="15">
      <c r="H1458" s="4"/>
    </row>
    <row r="1459" spans="8:8" ht="15">
      <c r="H1459" s="4"/>
    </row>
    <row r="1460" spans="8:8" ht="15">
      <c r="H1460" s="4"/>
    </row>
    <row r="1461" spans="8:8" ht="15">
      <c r="H1461" s="4"/>
    </row>
    <row r="1462" spans="8:8" ht="15">
      <c r="H1462" s="4"/>
    </row>
    <row r="1463" spans="8:8" ht="15">
      <c r="H1463" s="4"/>
    </row>
    <row r="1464" spans="8:8" ht="15">
      <c r="H1464" s="4"/>
    </row>
    <row r="1465" spans="8:8" ht="15">
      <c r="H1465" s="4"/>
    </row>
    <row r="1466" spans="8:8" ht="15">
      <c r="H1466" s="4"/>
    </row>
    <row r="1467" spans="8:8" ht="15">
      <c r="H1467" s="4"/>
    </row>
    <row r="1468" spans="8:8" ht="15">
      <c r="H1468" s="4"/>
    </row>
    <row r="1469" spans="8:8" ht="15">
      <c r="H1469" s="4"/>
    </row>
    <row r="1470" spans="8:8" ht="15">
      <c r="H1470" s="4"/>
    </row>
    <row r="1471" spans="8:8" ht="15">
      <c r="H1471" s="4"/>
    </row>
    <row r="1472" spans="8:8" ht="15">
      <c r="H1472" s="4"/>
    </row>
    <row r="1473" spans="8:8" ht="15">
      <c r="H1473" s="4"/>
    </row>
    <row r="1474" spans="8:8" ht="15">
      <c r="H1474" s="4"/>
    </row>
    <row r="1475" spans="8:8" ht="15">
      <c r="H1475" s="4"/>
    </row>
    <row r="1476" spans="8:8" ht="15">
      <c r="H1476" s="4"/>
    </row>
    <row r="1477" spans="8:8" ht="15">
      <c r="H1477" s="4"/>
    </row>
    <row r="1478" spans="8:8" ht="15">
      <c r="H1478" s="4"/>
    </row>
    <row r="1479" spans="8:8" ht="15">
      <c r="H1479" s="4"/>
    </row>
    <row r="1480" spans="8:8" ht="15">
      <c r="H1480" s="4"/>
    </row>
    <row r="1481" spans="8:8" ht="15">
      <c r="H1481" s="4"/>
    </row>
    <row r="1482" spans="8:8" ht="15">
      <c r="H1482" s="4"/>
    </row>
    <row r="1483" spans="8:8" ht="15">
      <c r="H1483" s="4"/>
    </row>
    <row r="1484" spans="8:8" ht="15">
      <c r="H1484" s="4"/>
    </row>
    <row r="1485" spans="8:8" ht="15">
      <c r="H1485" s="4"/>
    </row>
    <row r="1486" spans="8:8" ht="15">
      <c r="H1486" s="4"/>
    </row>
    <row r="1487" spans="8:8" ht="15">
      <c r="H1487" s="4"/>
    </row>
    <row r="1488" spans="8:8" ht="15">
      <c r="H1488" s="4"/>
    </row>
    <row r="1489" spans="8:8" ht="15">
      <c r="H1489" s="4"/>
    </row>
    <row r="1490" spans="8:8" ht="15">
      <c r="H1490" s="4"/>
    </row>
    <row r="1491" spans="8:8" ht="15">
      <c r="H1491" s="4"/>
    </row>
    <row r="1492" spans="8:8" ht="15">
      <c r="H1492" s="4"/>
    </row>
    <row r="1493" spans="8:8" ht="15">
      <c r="H1493" s="4"/>
    </row>
    <row r="1494" spans="8:8" ht="15">
      <c r="H1494" s="4"/>
    </row>
    <row r="1495" spans="8:8" ht="15">
      <c r="H1495" s="4"/>
    </row>
    <row r="1496" spans="8:8" ht="15">
      <c r="H1496" s="4"/>
    </row>
    <row r="1497" spans="8:8" ht="15">
      <c r="H1497" s="4"/>
    </row>
    <row r="1498" spans="8:8" ht="15">
      <c r="H1498" s="4"/>
    </row>
    <row r="1499" spans="8:8" ht="15">
      <c r="H1499" s="4"/>
    </row>
    <row r="1500" spans="8:8" ht="15">
      <c r="H1500" s="4"/>
    </row>
    <row r="1501" spans="8:8" ht="15">
      <c r="H1501" s="4"/>
    </row>
    <row r="1502" spans="8:8" ht="15">
      <c r="H1502" s="4"/>
    </row>
    <row r="1503" spans="8:8" ht="15">
      <c r="H1503" s="4"/>
    </row>
    <row r="1504" spans="8:8" ht="15">
      <c r="H1504" s="4"/>
    </row>
    <row r="1505" spans="8:8" ht="15">
      <c r="H1505" s="4"/>
    </row>
    <row r="1506" spans="8:8" ht="15">
      <c r="H1506" s="4"/>
    </row>
    <row r="1507" spans="8:8" ht="15">
      <c r="H1507" s="4"/>
    </row>
    <row r="1508" spans="8:8" ht="15">
      <c r="H1508" s="4"/>
    </row>
    <row r="1509" spans="8:8" ht="15">
      <c r="H1509" s="4"/>
    </row>
    <row r="1510" spans="8:8" ht="15">
      <c r="H1510" s="4"/>
    </row>
    <row r="1511" spans="8:8" ht="15">
      <c r="H1511" s="4"/>
    </row>
    <row r="1512" spans="8:8" ht="15">
      <c r="H1512" s="4"/>
    </row>
    <row r="1513" spans="8:8" ht="15">
      <c r="H1513" s="4"/>
    </row>
    <row r="1514" spans="8:8" ht="15">
      <c r="H1514" s="4"/>
    </row>
    <row r="1515" spans="8:8" ht="15">
      <c r="H1515" s="4"/>
    </row>
    <row r="1516" spans="8:8" ht="15">
      <c r="H1516" s="4"/>
    </row>
    <row r="1517" spans="8:8" ht="15">
      <c r="H1517" s="4"/>
    </row>
    <row r="1518" spans="8:8" ht="15">
      <c r="H1518" s="4"/>
    </row>
    <row r="1519" spans="8:8" ht="15">
      <c r="H1519" s="4"/>
    </row>
    <row r="1520" spans="8:8" ht="15">
      <c r="H1520" s="4"/>
    </row>
    <row r="1521" spans="8:8" ht="15">
      <c r="H1521" s="4"/>
    </row>
    <row r="1522" spans="8:8" ht="15">
      <c r="H1522" s="4"/>
    </row>
    <row r="1523" spans="8:8" ht="15">
      <c r="H1523" s="4"/>
    </row>
    <row r="1524" spans="8:8" ht="15">
      <c r="H1524" s="4"/>
    </row>
    <row r="1525" spans="8:8" ht="15">
      <c r="H1525" s="4"/>
    </row>
    <row r="1526" spans="8:8" ht="15">
      <c r="H1526" s="4"/>
    </row>
    <row r="1527" spans="8:8" ht="15">
      <c r="H1527" s="4"/>
    </row>
    <row r="1528" spans="8:8" ht="15">
      <c r="H1528" s="4"/>
    </row>
    <row r="1529" spans="8:8" ht="15">
      <c r="H1529" s="4"/>
    </row>
    <row r="1530" spans="8:8" ht="15">
      <c r="H1530" s="4"/>
    </row>
    <row r="1531" spans="8:8" ht="15">
      <c r="H1531" s="4"/>
    </row>
    <row r="1532" spans="8:8" ht="15">
      <c r="H1532" s="4"/>
    </row>
    <row r="1533" spans="8:8" ht="15">
      <c r="H1533" s="4"/>
    </row>
    <row r="1534" spans="8:8" ht="15">
      <c r="H1534" s="4"/>
    </row>
    <row r="1535" spans="8:8" ht="15">
      <c r="H1535" s="4"/>
    </row>
    <row r="1536" spans="8:8" ht="15">
      <c r="H1536" s="4"/>
    </row>
    <row r="1537" spans="8:8" ht="15">
      <c r="H1537" s="4"/>
    </row>
    <row r="1538" spans="8:8" ht="15">
      <c r="H1538" s="4"/>
    </row>
    <row r="1539" spans="8:8" ht="15">
      <c r="H1539" s="4"/>
    </row>
    <row r="1540" spans="8:8" ht="15">
      <c r="H1540" s="4"/>
    </row>
    <row r="1541" spans="8:8" ht="15">
      <c r="H1541" s="4"/>
    </row>
    <row r="1542" spans="8:8" ht="15">
      <c r="H1542" s="4"/>
    </row>
    <row r="1543" spans="8:8" ht="15">
      <c r="H1543" s="4"/>
    </row>
    <row r="1544" spans="8:8" ht="15">
      <c r="H1544" s="4"/>
    </row>
    <row r="1545" spans="8:8" ht="15">
      <c r="H1545" s="4"/>
    </row>
    <row r="1546" spans="8:8" ht="15">
      <c r="H1546" s="4"/>
    </row>
    <row r="1547" spans="8:8" ht="15">
      <c r="H1547" s="4"/>
    </row>
    <row r="1548" spans="8:8" ht="15">
      <c r="H1548" s="4"/>
    </row>
    <row r="1549" spans="8:8" ht="15">
      <c r="H1549" s="4"/>
    </row>
    <row r="1550" spans="8:8" ht="15">
      <c r="H1550" s="4"/>
    </row>
    <row r="1551" spans="8:8" ht="15">
      <c r="H1551" s="4"/>
    </row>
    <row r="1552" spans="8:8" ht="15">
      <c r="H1552" s="4"/>
    </row>
    <row r="1553" spans="8:8" ht="15">
      <c r="H1553" s="4"/>
    </row>
    <row r="1554" spans="8:8" ht="15">
      <c r="H1554" s="4"/>
    </row>
    <row r="1555" spans="8:8" ht="15">
      <c r="H1555" s="4"/>
    </row>
    <row r="1556" spans="8:8" ht="15">
      <c r="H1556" s="4"/>
    </row>
    <row r="1557" spans="8:8" ht="15">
      <c r="H1557" s="4"/>
    </row>
    <row r="1558" spans="8:8" ht="15">
      <c r="H1558" s="4"/>
    </row>
    <row r="1559" spans="8:8" ht="15">
      <c r="H1559" s="4"/>
    </row>
    <row r="1560" spans="8:8" ht="15">
      <c r="H1560" s="4"/>
    </row>
    <row r="1561" spans="8:8" ht="15">
      <c r="H1561" s="4"/>
    </row>
    <row r="1562" spans="8:8" ht="15">
      <c r="H1562" s="4"/>
    </row>
    <row r="1563" spans="8:8" ht="15">
      <c r="H1563" s="4"/>
    </row>
    <row r="1564" spans="8:8" ht="15">
      <c r="H1564" s="4"/>
    </row>
    <row r="1565" spans="8:8" ht="15">
      <c r="H1565" s="4"/>
    </row>
    <row r="1566" spans="8:8" ht="15">
      <c r="H1566" s="4"/>
    </row>
    <row r="1567" spans="8:8" ht="15">
      <c r="H1567" s="4"/>
    </row>
    <row r="1568" spans="8:8" ht="15">
      <c r="H1568" s="4"/>
    </row>
    <row r="1569" spans="8:8" ht="15">
      <c r="H1569" s="4"/>
    </row>
    <row r="1570" spans="8:8" ht="15">
      <c r="H1570" s="4"/>
    </row>
    <row r="1571" spans="8:8" ht="15">
      <c r="H1571" s="4"/>
    </row>
    <row r="1572" spans="8:8" ht="15">
      <c r="H1572" s="4"/>
    </row>
    <row r="1573" spans="8:8" ht="15">
      <c r="H1573" s="4"/>
    </row>
    <row r="1574" spans="8:8" ht="15">
      <c r="H1574" s="4"/>
    </row>
    <row r="1575" spans="8:8" ht="15">
      <c r="H1575" s="4"/>
    </row>
    <row r="1576" spans="8:8" ht="15">
      <c r="H1576" s="4"/>
    </row>
    <row r="1577" spans="8:8" ht="15">
      <c r="H1577" s="4"/>
    </row>
    <row r="1578" spans="8:8" ht="15">
      <c r="H1578" s="4"/>
    </row>
    <row r="1579" spans="8:8" ht="15">
      <c r="H1579" s="4"/>
    </row>
    <row r="1580" spans="8:8" ht="15">
      <c r="H1580" s="4"/>
    </row>
    <row r="1581" spans="8:8" ht="15">
      <c r="H1581" s="4"/>
    </row>
    <row r="1582" spans="8:8" ht="15">
      <c r="H1582" s="4"/>
    </row>
    <row r="1583" spans="8:8" ht="15">
      <c r="H1583" s="4"/>
    </row>
    <row r="1584" spans="8:8" ht="15">
      <c r="H1584" s="4"/>
    </row>
    <row r="1585" spans="8:8" ht="15">
      <c r="H1585" s="4"/>
    </row>
    <row r="1586" spans="8:8" ht="15">
      <c r="H1586" s="4"/>
    </row>
    <row r="1587" spans="8:8" ht="15">
      <c r="H1587" s="4"/>
    </row>
    <row r="1588" spans="8:8" ht="15">
      <c r="H1588" s="4"/>
    </row>
    <row r="1589" spans="8:8" ht="15">
      <c r="H1589" s="4"/>
    </row>
    <row r="1590" spans="8:8" ht="15">
      <c r="H1590" s="4"/>
    </row>
    <row r="1591" spans="8:8" ht="15">
      <c r="H1591" s="4"/>
    </row>
    <row r="1592" spans="8:8" ht="15">
      <c r="H1592" s="4"/>
    </row>
    <row r="1593" spans="8:8" ht="15">
      <c r="H1593" s="4"/>
    </row>
    <row r="1594" spans="8:8" ht="15">
      <c r="H1594" s="4"/>
    </row>
    <row r="1595" spans="8:8" ht="15">
      <c r="H1595" s="4"/>
    </row>
    <row r="1596" spans="8:8" ht="15">
      <c r="H1596" s="4"/>
    </row>
    <row r="1597" spans="8:8" ht="15">
      <c r="H1597" s="4"/>
    </row>
    <row r="1598" spans="8:8" ht="15">
      <c r="H1598" s="4"/>
    </row>
    <row r="1599" spans="8:8" ht="15">
      <c r="H1599" s="4"/>
    </row>
    <row r="1600" spans="8:8" ht="15">
      <c r="H1600" s="4"/>
    </row>
    <row r="1601" spans="8:8" ht="15">
      <c r="H1601" s="4"/>
    </row>
    <row r="1602" spans="8:8" ht="15">
      <c r="H1602" s="4"/>
    </row>
    <row r="1603" spans="8:8" ht="15">
      <c r="H1603" s="4"/>
    </row>
    <row r="1604" spans="8:8" ht="15">
      <c r="H1604" s="4"/>
    </row>
    <row r="1605" spans="8:8" ht="15">
      <c r="H1605" s="4"/>
    </row>
    <row r="1606" spans="8:8" ht="15">
      <c r="H1606" s="4"/>
    </row>
    <row r="1607" spans="8:8" ht="15">
      <c r="H1607" s="4"/>
    </row>
    <row r="1608" spans="8:8" ht="15">
      <c r="H1608" s="4"/>
    </row>
    <row r="1609" spans="8:8" ht="15">
      <c r="H1609" s="4"/>
    </row>
    <row r="1610" spans="8:8" ht="15">
      <c r="H1610" s="4"/>
    </row>
    <row r="1611" spans="8:8" ht="15">
      <c r="H1611" s="4"/>
    </row>
    <row r="1612" spans="8:8" ht="15">
      <c r="H1612" s="4"/>
    </row>
    <row r="1613" spans="8:8" ht="15">
      <c r="H1613" s="4"/>
    </row>
    <row r="1614" spans="8:8" ht="15">
      <c r="H1614" s="4"/>
    </row>
    <row r="1615" spans="8:8" ht="15">
      <c r="H1615" s="4"/>
    </row>
    <row r="1616" spans="8:8" ht="15">
      <c r="H1616" s="4"/>
    </row>
    <row r="1617" spans="8:8" ht="15">
      <c r="H1617" s="4"/>
    </row>
    <row r="1618" spans="8:8" ht="15">
      <c r="H1618" s="4"/>
    </row>
    <row r="1619" spans="8:8" ht="15">
      <c r="H1619" s="4"/>
    </row>
    <row r="1620" spans="8:8" ht="15">
      <c r="H1620" s="4"/>
    </row>
    <row r="1621" spans="8:8" ht="15">
      <c r="H1621" s="4"/>
    </row>
    <row r="1622" spans="8:8" ht="15">
      <c r="H1622" s="4"/>
    </row>
    <row r="1623" spans="8:8" ht="15">
      <c r="H1623" s="4"/>
    </row>
    <row r="1624" spans="8:8" ht="15">
      <c r="H1624" s="4"/>
    </row>
    <row r="1625" spans="8:8" ht="15">
      <c r="H1625" s="4"/>
    </row>
    <row r="1626" spans="8:8" ht="15">
      <c r="H1626" s="4"/>
    </row>
    <row r="1627" spans="8:8" ht="15">
      <c r="H1627" s="4"/>
    </row>
    <row r="1628" spans="8:8" ht="15">
      <c r="H1628" s="4"/>
    </row>
    <row r="1629" spans="8:8" ht="15">
      <c r="H1629" s="4"/>
    </row>
    <row r="1630" spans="8:8" ht="15">
      <c r="H1630" s="4"/>
    </row>
    <row r="1631" spans="8:8" ht="15">
      <c r="H1631" s="4"/>
    </row>
    <row r="1632" spans="8:8" ht="15">
      <c r="H1632" s="4"/>
    </row>
    <row r="1633" spans="8:8" ht="15">
      <c r="H1633" s="4"/>
    </row>
    <row r="1634" spans="8:8" ht="15">
      <c r="H1634" s="4"/>
    </row>
    <row r="1635" spans="8:8" ht="15">
      <c r="H1635" s="4"/>
    </row>
    <row r="1636" spans="8:8" ht="15">
      <c r="H1636" s="4"/>
    </row>
    <row r="1637" spans="8:8" ht="15">
      <c r="H1637" s="4"/>
    </row>
    <row r="1638" spans="8:8" ht="15">
      <c r="H1638" s="4"/>
    </row>
    <row r="1639" spans="8:8" ht="15">
      <c r="H1639" s="4"/>
    </row>
    <row r="1640" spans="8:8" ht="15">
      <c r="H1640" s="4"/>
    </row>
    <row r="1641" spans="8:8" ht="15">
      <c r="H1641" s="4"/>
    </row>
    <row r="1642" spans="8:8" ht="15">
      <c r="H1642" s="4"/>
    </row>
    <row r="1643" spans="8:8" ht="15">
      <c r="H1643" s="4"/>
    </row>
    <row r="1644" spans="8:8" ht="15">
      <c r="H1644" s="4"/>
    </row>
    <row r="1645" spans="8:8" ht="15">
      <c r="H1645" s="4"/>
    </row>
    <row r="1646" spans="8:8" ht="15">
      <c r="H1646" s="4"/>
    </row>
    <row r="1647" spans="8:8" ht="15">
      <c r="H1647" s="4"/>
    </row>
    <row r="1648" spans="8:8" ht="15">
      <c r="H1648" s="4"/>
    </row>
    <row r="1649" spans="8:8" ht="15">
      <c r="H1649" s="4"/>
    </row>
    <row r="1650" spans="8:8" ht="15">
      <c r="H1650" s="4"/>
    </row>
    <row r="1651" spans="8:8" ht="15">
      <c r="H1651" s="4"/>
    </row>
    <row r="1652" spans="8:8" ht="15">
      <c r="H1652" s="4"/>
    </row>
    <row r="1653" spans="8:8" ht="15">
      <c r="H1653" s="4"/>
    </row>
    <row r="1654" spans="8:8" ht="15">
      <c r="H1654" s="4"/>
    </row>
    <row r="1655" spans="8:8" ht="15">
      <c r="H1655" s="4"/>
    </row>
    <row r="1656" spans="8:8" ht="15">
      <c r="H1656" s="4"/>
    </row>
    <row r="1657" spans="8:8" ht="15">
      <c r="H1657" s="4"/>
    </row>
    <row r="1658" spans="8:8" ht="15">
      <c r="H1658" s="4"/>
    </row>
    <row r="1659" spans="8:8" ht="15">
      <c r="H1659" s="4"/>
    </row>
    <row r="1660" spans="8:8" ht="15">
      <c r="H1660" s="4"/>
    </row>
    <row r="1661" spans="8:8" ht="15">
      <c r="H1661" s="4"/>
    </row>
    <row r="1662" spans="8:8" ht="15">
      <c r="H1662" s="4"/>
    </row>
    <row r="1663" spans="8:8" ht="15">
      <c r="H1663" s="4"/>
    </row>
    <row r="1664" spans="8:8" ht="15">
      <c r="H1664" s="4"/>
    </row>
    <row r="1665" spans="8:8" ht="15">
      <c r="H1665" s="4"/>
    </row>
    <row r="1666" spans="8:8" ht="15">
      <c r="H1666" s="4"/>
    </row>
    <row r="1667" spans="8:8" ht="15">
      <c r="H1667" s="4"/>
    </row>
    <row r="1668" spans="8:8" ht="15">
      <c r="H1668" s="4"/>
    </row>
    <row r="1669" spans="8:8" ht="15">
      <c r="H1669" s="4"/>
    </row>
    <row r="1670" spans="8:8" ht="15">
      <c r="H1670" s="4"/>
    </row>
    <row r="1671" spans="8:8" ht="15">
      <c r="H1671" s="4"/>
    </row>
    <row r="1672" spans="8:8" ht="15">
      <c r="H1672" s="4"/>
    </row>
    <row r="1673" spans="8:8" ht="15">
      <c r="H1673" s="4"/>
    </row>
    <row r="1674" spans="8:8" ht="15">
      <c r="H1674" s="4"/>
    </row>
    <row r="1675" spans="8:8" ht="15">
      <c r="H1675" s="4"/>
    </row>
    <row r="1676" spans="8:8" ht="15">
      <c r="H1676" s="4"/>
    </row>
    <row r="1677" spans="8:8" ht="15">
      <c r="H1677" s="4"/>
    </row>
    <row r="1678" spans="8:8" ht="15">
      <c r="H1678" s="4"/>
    </row>
    <row r="1679" spans="8:8" ht="15">
      <c r="H1679" s="4"/>
    </row>
    <row r="1680" spans="8:8" ht="15">
      <c r="H1680" s="4"/>
    </row>
    <row r="1681" spans="8:8" ht="15">
      <c r="H1681" s="4"/>
    </row>
    <row r="1682" spans="8:8" ht="15">
      <c r="H1682" s="4"/>
    </row>
    <row r="1683" spans="8:8" ht="15">
      <c r="H1683" s="4"/>
    </row>
    <row r="1684" spans="8:8" ht="15">
      <c r="H1684" s="4"/>
    </row>
    <row r="1685" spans="8:8" ht="15">
      <c r="H1685" s="4"/>
    </row>
    <row r="1686" spans="8:8" ht="15">
      <c r="H1686" s="4"/>
    </row>
    <row r="1687" spans="8:8" ht="15">
      <c r="H1687" s="4"/>
    </row>
    <row r="1688" spans="8:8" ht="15">
      <c r="H1688" s="4"/>
    </row>
    <row r="1689" spans="8:8" ht="15">
      <c r="H1689" s="4"/>
    </row>
    <row r="1690" spans="8:8" ht="15">
      <c r="H1690" s="4"/>
    </row>
    <row r="1691" spans="8:8" ht="15">
      <c r="H1691" s="4"/>
    </row>
    <row r="1692" spans="8:8" ht="15">
      <c r="H1692" s="4"/>
    </row>
    <row r="1693" spans="8:8" ht="15">
      <c r="H1693" s="4"/>
    </row>
    <row r="1694" spans="8:8" ht="15">
      <c r="H1694" s="4"/>
    </row>
    <row r="1695" spans="8:8" ht="15">
      <c r="H1695" s="4"/>
    </row>
    <row r="1696" spans="8:8" ht="15">
      <c r="H1696" s="4"/>
    </row>
    <row r="1697" spans="8:8" ht="15">
      <c r="H1697" s="4"/>
    </row>
    <row r="1698" spans="8:8" ht="15">
      <c r="H1698" s="4"/>
    </row>
    <row r="1699" spans="8:8" ht="15">
      <c r="H1699" s="4"/>
    </row>
    <row r="1700" spans="8:8" ht="15">
      <c r="H1700" s="4"/>
    </row>
    <row r="1701" spans="8:8" ht="15">
      <c r="H1701" s="4"/>
    </row>
    <row r="1702" spans="8:8" ht="15">
      <c r="H1702" s="4"/>
    </row>
    <row r="1703" spans="8:8" ht="15">
      <c r="H1703" s="4"/>
    </row>
    <row r="1704" spans="8:8" ht="15">
      <c r="H1704" s="4"/>
    </row>
    <row r="1705" spans="8:8" ht="15">
      <c r="H1705" s="4"/>
    </row>
    <row r="1706" spans="8:8" ht="15">
      <c r="H1706" s="4"/>
    </row>
    <row r="1707" spans="8:8" ht="15">
      <c r="H1707" s="4"/>
    </row>
    <row r="1708" spans="8:8" ht="15">
      <c r="H1708" s="4"/>
    </row>
    <row r="1709" spans="8:8" ht="15">
      <c r="H1709" s="4"/>
    </row>
    <row r="1710" spans="8:8" ht="15">
      <c r="H1710" s="4"/>
    </row>
    <row r="1711" spans="8:8" ht="15">
      <c r="H1711" s="4"/>
    </row>
    <row r="1712" spans="8:8" ht="15">
      <c r="H1712" s="4"/>
    </row>
    <row r="1713" spans="8:8" ht="15">
      <c r="H1713" s="4"/>
    </row>
    <row r="1714" spans="8:8" ht="15">
      <c r="H1714" s="4"/>
    </row>
    <row r="1715" spans="8:8" ht="15">
      <c r="H1715" s="4"/>
    </row>
    <row r="1716" spans="8:8" ht="15">
      <c r="H1716" s="4"/>
    </row>
    <row r="1717" spans="8:8" ht="15">
      <c r="H1717" s="4"/>
    </row>
    <row r="1718" spans="8:8" ht="15">
      <c r="H1718" s="4"/>
    </row>
    <row r="1719" spans="8:8" ht="15">
      <c r="H1719" s="4"/>
    </row>
    <row r="1720" spans="8:8" ht="15">
      <c r="H1720" s="4"/>
    </row>
    <row r="1721" spans="8:8" ht="15">
      <c r="H1721" s="4"/>
    </row>
    <row r="1722" spans="8:8" ht="15">
      <c r="H1722" s="4"/>
    </row>
    <row r="1723" spans="8:8" ht="15">
      <c r="H1723" s="4"/>
    </row>
    <row r="1724" spans="8:8" ht="15">
      <c r="H1724" s="4"/>
    </row>
    <row r="1725" spans="8:8" ht="15">
      <c r="H1725" s="4"/>
    </row>
    <row r="1726" spans="8:8" ht="15">
      <c r="H1726" s="4"/>
    </row>
    <row r="1727" spans="8:8" ht="15">
      <c r="H1727" s="4"/>
    </row>
    <row r="1728" spans="8:8" ht="15">
      <c r="H1728" s="4"/>
    </row>
    <row r="1729" spans="8:8" ht="15">
      <c r="H1729" s="4"/>
    </row>
    <row r="1730" spans="8:8" ht="15">
      <c r="H1730" s="4"/>
    </row>
    <row r="1731" spans="8:8" ht="15">
      <c r="H1731" s="4"/>
    </row>
    <row r="1732" spans="8:8" ht="15">
      <c r="H1732" s="4"/>
    </row>
    <row r="1733" spans="8:8" ht="15">
      <c r="H1733" s="4"/>
    </row>
    <row r="1734" spans="8:8" ht="15">
      <c r="H1734" s="4"/>
    </row>
    <row r="1735" spans="8:8" ht="15">
      <c r="H1735" s="4"/>
    </row>
    <row r="1736" spans="8:8" ht="15">
      <c r="H1736" s="4"/>
    </row>
    <row r="1737" spans="8:8" ht="15">
      <c r="H1737" s="4"/>
    </row>
    <row r="1738" spans="8:8" ht="15">
      <c r="H1738" s="4"/>
    </row>
    <row r="1739" spans="8:8" ht="15">
      <c r="H1739" s="4"/>
    </row>
    <row r="1740" spans="8:8" ht="15">
      <c r="H1740" s="4"/>
    </row>
    <row r="1741" spans="8:8" ht="15">
      <c r="H1741" s="4"/>
    </row>
    <row r="1742" spans="8:8" ht="15">
      <c r="H1742" s="4"/>
    </row>
    <row r="1743" spans="8:8" ht="15">
      <c r="H1743" s="4"/>
    </row>
    <row r="1744" spans="8:8" ht="15">
      <c r="H1744" s="4"/>
    </row>
    <row r="1745" spans="8:8" ht="15">
      <c r="H1745" s="4"/>
    </row>
    <row r="1746" spans="8:8" ht="15">
      <c r="H1746" s="4"/>
    </row>
    <row r="1747" spans="8:8" ht="15">
      <c r="H1747" s="4"/>
    </row>
    <row r="1748" spans="8:8" ht="15">
      <c r="H1748" s="4"/>
    </row>
    <row r="1749" spans="8:8" ht="15">
      <c r="H1749" s="4"/>
    </row>
    <row r="1750" spans="8:8" ht="15">
      <c r="H1750" s="4"/>
    </row>
    <row r="1751" spans="8:8" ht="15">
      <c r="H1751" s="4"/>
    </row>
    <row r="1752" spans="8:8" ht="15">
      <c r="H1752" s="4"/>
    </row>
    <row r="1753" spans="8:8" ht="15">
      <c r="H1753" s="4"/>
    </row>
    <row r="1754" spans="8:8" ht="15">
      <c r="H1754" s="4"/>
    </row>
    <row r="1755" spans="8:8" ht="15">
      <c r="H1755" s="4"/>
    </row>
    <row r="1756" spans="8:8" ht="15">
      <c r="H1756" s="4"/>
    </row>
    <row r="1757" spans="8:8" ht="15">
      <c r="H1757" s="4"/>
    </row>
    <row r="1758" spans="8:8" ht="15">
      <c r="H1758" s="4"/>
    </row>
    <row r="1759" spans="8:8" ht="15">
      <c r="H1759" s="4"/>
    </row>
    <row r="1760" spans="8:8" ht="15">
      <c r="H1760" s="4"/>
    </row>
    <row r="1761" spans="8:8" ht="15">
      <c r="H1761" s="4"/>
    </row>
    <row r="1762" spans="8:8" ht="15">
      <c r="H1762" s="4"/>
    </row>
    <row r="1763" spans="8:8" ht="15">
      <c r="H1763" s="4"/>
    </row>
    <row r="1764" spans="8:8" ht="15">
      <c r="H1764" s="4"/>
    </row>
    <row r="1765" spans="8:8" ht="15">
      <c r="H1765" s="4"/>
    </row>
    <row r="1766" spans="8:8" ht="15">
      <c r="H1766" s="4"/>
    </row>
    <row r="1767" spans="8:8" ht="15">
      <c r="H1767" s="4"/>
    </row>
    <row r="1768" spans="8:8" ht="15">
      <c r="H1768" s="4"/>
    </row>
    <row r="1769" spans="8:8" ht="15">
      <c r="H1769" s="4"/>
    </row>
    <row r="1770" spans="8:8" ht="15">
      <c r="H1770" s="4"/>
    </row>
    <row r="1771" spans="8:8" ht="15">
      <c r="H1771" s="4"/>
    </row>
    <row r="1772" spans="8:8" ht="15">
      <c r="H1772" s="4"/>
    </row>
    <row r="1773" spans="8:8" ht="15">
      <c r="H1773" s="4"/>
    </row>
    <row r="1774" spans="8:8" ht="15">
      <c r="H1774" s="4"/>
    </row>
    <row r="1775" spans="8:8" ht="15">
      <c r="H1775" s="4"/>
    </row>
    <row r="1776" spans="8:8" ht="15">
      <c r="H1776" s="4"/>
    </row>
    <row r="1777" spans="8:8" ht="15">
      <c r="H1777" s="4"/>
    </row>
    <row r="1778" spans="8:8" ht="15">
      <c r="H1778" s="4"/>
    </row>
    <row r="1779" spans="8:8" ht="15">
      <c r="H1779" s="4"/>
    </row>
    <row r="1780" spans="8:8" ht="15">
      <c r="H1780" s="4"/>
    </row>
    <row r="1781" spans="8:8" ht="15">
      <c r="H1781" s="4"/>
    </row>
    <row r="1782" spans="8:8" ht="15">
      <c r="H1782" s="4"/>
    </row>
    <row r="1783" spans="8:8" ht="15">
      <c r="H1783" s="4"/>
    </row>
    <row r="1784" spans="8:8" ht="15">
      <c r="H1784" s="4"/>
    </row>
    <row r="1785" spans="8:8" ht="15">
      <c r="H1785" s="4"/>
    </row>
    <row r="1786" spans="8:8" ht="15">
      <c r="H1786" s="4"/>
    </row>
    <row r="1787" spans="8:8" ht="15">
      <c r="H1787" s="4"/>
    </row>
    <row r="1788" spans="8:8" ht="15">
      <c r="H1788" s="4"/>
    </row>
    <row r="1789" spans="8:8" ht="15">
      <c r="H1789" s="4"/>
    </row>
    <row r="1790" spans="8:8" ht="15">
      <c r="H1790" s="4"/>
    </row>
    <row r="1791" spans="8:8" ht="15">
      <c r="H1791" s="4"/>
    </row>
    <row r="1792" spans="8:8" ht="15">
      <c r="H1792" s="4"/>
    </row>
    <row r="1793" spans="8:8" ht="15">
      <c r="H1793" s="4"/>
    </row>
    <row r="1794" spans="8:8" ht="15">
      <c r="H1794" s="4"/>
    </row>
    <row r="1795" spans="8:8" ht="15">
      <c r="H1795" s="4"/>
    </row>
    <row r="1796" spans="8:8" ht="15">
      <c r="H1796" s="4"/>
    </row>
    <row r="1797" spans="8:8" ht="15">
      <c r="H1797" s="4"/>
    </row>
    <row r="1798" spans="8:8" ht="15">
      <c r="H1798" s="4"/>
    </row>
    <row r="1799" spans="8:8" ht="15">
      <c r="H1799" s="4"/>
    </row>
    <row r="1800" spans="8:8" ht="15">
      <c r="H1800" s="4"/>
    </row>
    <row r="1801" spans="8:8" ht="15">
      <c r="H1801" s="4"/>
    </row>
    <row r="1802" spans="8:8" ht="15">
      <c r="H1802" s="4"/>
    </row>
    <row r="1803" spans="8:8" ht="15">
      <c r="H1803" s="4"/>
    </row>
    <row r="1804" spans="8:8" ht="15">
      <c r="H1804" s="4"/>
    </row>
    <row r="1805" spans="8:8" ht="15">
      <c r="H1805" s="4"/>
    </row>
    <row r="1806" spans="8:8" ht="15">
      <c r="H1806" s="4"/>
    </row>
    <row r="1807" spans="8:8" ht="15">
      <c r="H1807" s="4"/>
    </row>
    <row r="1808" spans="8:8" ht="15">
      <c r="H1808" s="4"/>
    </row>
    <row r="1809" spans="8:8" ht="15">
      <c r="H1809" s="4"/>
    </row>
    <row r="1810" spans="8:8" ht="15">
      <c r="H1810" s="4"/>
    </row>
    <row r="1811" spans="8:8" ht="15">
      <c r="H1811" s="4"/>
    </row>
    <row r="1812" spans="8:8" ht="15">
      <c r="H1812" s="4"/>
    </row>
    <row r="1813" spans="8:8" ht="15">
      <c r="H1813" s="4"/>
    </row>
    <row r="1814" spans="8:8" ht="15">
      <c r="H1814" s="4"/>
    </row>
    <row r="1815" spans="8:8" ht="15">
      <c r="H1815" s="4"/>
    </row>
    <row r="1816" spans="8:8" ht="15">
      <c r="H1816" s="4"/>
    </row>
    <row r="1817" spans="8:8" ht="15">
      <c r="H1817" s="4"/>
    </row>
    <row r="1818" spans="8:8" ht="15">
      <c r="H1818" s="4"/>
    </row>
    <row r="1819" spans="8:8" ht="15">
      <c r="H1819" s="4"/>
    </row>
    <row r="1820" spans="8:8" ht="15">
      <c r="H1820" s="4"/>
    </row>
    <row r="1821" spans="8:8" ht="15">
      <c r="H1821" s="4"/>
    </row>
    <row r="1822" spans="8:8" ht="15">
      <c r="H1822" s="4"/>
    </row>
    <row r="1823" spans="8:8" ht="15">
      <c r="H1823" s="4"/>
    </row>
    <row r="1824" spans="8:8" ht="15">
      <c r="H1824" s="4"/>
    </row>
    <row r="1825" spans="8:8" ht="15">
      <c r="H1825" s="4"/>
    </row>
    <row r="1826" spans="8:8" ht="15">
      <c r="H1826" s="4"/>
    </row>
    <row r="1827" spans="8:8" ht="15">
      <c r="H1827" s="4"/>
    </row>
    <row r="1828" spans="8:8" ht="15">
      <c r="H1828" s="4"/>
    </row>
    <row r="1829" spans="8:8" ht="15">
      <c r="H1829" s="4"/>
    </row>
    <row r="1830" spans="8:8" ht="15">
      <c r="H1830" s="4"/>
    </row>
    <row r="1831" spans="8:8" ht="15">
      <c r="H1831" s="4"/>
    </row>
    <row r="1832" spans="8:8" ht="15">
      <c r="H1832" s="4"/>
    </row>
    <row r="1833" spans="8:8" ht="15">
      <c r="H1833" s="4"/>
    </row>
    <row r="1834" spans="8:8" ht="15">
      <c r="H1834" s="4"/>
    </row>
    <row r="1835" spans="8:8" ht="15">
      <c r="H1835" s="4"/>
    </row>
    <row r="1836" spans="8:8" ht="15">
      <c r="H1836" s="4"/>
    </row>
    <row r="1837" spans="8:8" ht="15">
      <c r="H1837" s="4"/>
    </row>
    <row r="1838" spans="8:8" ht="15">
      <c r="H1838" s="4"/>
    </row>
    <row r="1839" spans="8:8" ht="15">
      <c r="H1839" s="4"/>
    </row>
    <row r="1840" spans="8:8" ht="15">
      <c r="H1840" s="4"/>
    </row>
    <row r="1841" spans="8:8" ht="15">
      <c r="H1841" s="4"/>
    </row>
    <row r="1842" spans="8:8" ht="15">
      <c r="H1842" s="4"/>
    </row>
    <row r="1843" spans="8:8" ht="15">
      <c r="H1843" s="4"/>
    </row>
    <row r="1844" spans="8:8" ht="15">
      <c r="H1844" s="4"/>
    </row>
    <row r="1845" spans="8:8" ht="15">
      <c r="H1845" s="4"/>
    </row>
    <row r="1846" spans="8:8" ht="15">
      <c r="H1846" s="4"/>
    </row>
    <row r="1847" spans="8:8" ht="15">
      <c r="H1847" s="4"/>
    </row>
    <row r="1848" spans="8:8" ht="15">
      <c r="H1848" s="4"/>
    </row>
    <row r="1849" spans="8:8" ht="15">
      <c r="H1849" s="4"/>
    </row>
    <row r="1850" spans="8:8" ht="15">
      <c r="H1850" s="4"/>
    </row>
    <row r="1851" spans="8:8" ht="15">
      <c r="H1851" s="4"/>
    </row>
    <row r="1852" spans="8:8" ht="15">
      <c r="H1852" s="4"/>
    </row>
    <row r="1853" spans="8:8" ht="15">
      <c r="H1853" s="4"/>
    </row>
    <row r="1854" spans="8:8" ht="15">
      <c r="H1854" s="4"/>
    </row>
    <row r="1855" spans="8:8" ht="15">
      <c r="H1855" s="4"/>
    </row>
    <row r="1856" spans="8:8" ht="15">
      <c r="H1856" s="4"/>
    </row>
    <row r="1857" spans="8:8" ht="15">
      <c r="H1857" s="4"/>
    </row>
    <row r="1858" spans="8:8" ht="15">
      <c r="H1858" s="4"/>
    </row>
    <row r="1859" spans="8:8" ht="15">
      <c r="H1859" s="4"/>
    </row>
    <row r="1860" spans="8:8" ht="15">
      <c r="H1860" s="4"/>
    </row>
    <row r="1861" spans="8:8" ht="15">
      <c r="H1861" s="4"/>
    </row>
    <row r="1862" spans="8:8" ht="15">
      <c r="H1862" s="4"/>
    </row>
    <row r="1863" spans="8:8" ht="15">
      <c r="H1863" s="4"/>
    </row>
    <row r="1864" spans="8:8" ht="15">
      <c r="H1864" s="4"/>
    </row>
    <row r="1865" spans="8:8" ht="15">
      <c r="H1865" s="4"/>
    </row>
    <row r="1866" spans="8:8" ht="15">
      <c r="H1866" s="4"/>
    </row>
    <row r="1867" spans="8:8" ht="15">
      <c r="H1867" s="4"/>
    </row>
    <row r="1868" spans="8:8" ht="15">
      <c r="H1868" s="4"/>
    </row>
    <row r="1869" spans="8:8" ht="15">
      <c r="H1869" s="4"/>
    </row>
    <row r="1870" spans="8:8" ht="15">
      <c r="H1870" s="4"/>
    </row>
    <row r="1871" spans="8:8" ht="15">
      <c r="H1871" s="4"/>
    </row>
    <row r="1872" spans="8:8" ht="15">
      <c r="H1872" s="4"/>
    </row>
    <row r="1873" spans="8:8" ht="15">
      <c r="H1873" s="4"/>
    </row>
    <row r="1874" spans="8:8" ht="15">
      <c r="H1874" s="4"/>
    </row>
    <row r="1875" spans="8:8" ht="15">
      <c r="H1875" s="4"/>
    </row>
    <row r="1876" spans="8:8" ht="15">
      <c r="H1876" s="4"/>
    </row>
    <row r="1877" spans="8:8" ht="15">
      <c r="H1877" s="4"/>
    </row>
    <row r="1878" spans="8:8" ht="15">
      <c r="H1878" s="4"/>
    </row>
    <row r="1879" spans="8:8" ht="15">
      <c r="H1879" s="4"/>
    </row>
    <row r="1880" spans="8:8" ht="15">
      <c r="H1880" s="4"/>
    </row>
    <row r="1881" spans="8:8" ht="15">
      <c r="H1881" s="4"/>
    </row>
    <row r="1882" spans="8:8" ht="15">
      <c r="H1882" s="4"/>
    </row>
    <row r="1883" spans="8:8" ht="15">
      <c r="H1883" s="4"/>
    </row>
    <row r="1884" spans="8:8" ht="15">
      <c r="H1884" s="4"/>
    </row>
    <row r="1885" spans="8:8" ht="15">
      <c r="H1885" s="4"/>
    </row>
    <row r="1886" spans="8:8" ht="15">
      <c r="H1886" s="4"/>
    </row>
    <row r="1887" spans="8:8" ht="15">
      <c r="H1887" s="4"/>
    </row>
    <row r="1888" spans="8:8" ht="15">
      <c r="H1888" s="4"/>
    </row>
    <row r="1889" spans="8:8" ht="15">
      <c r="H1889" s="4"/>
    </row>
    <row r="1890" spans="8:8" ht="15">
      <c r="H1890" s="4"/>
    </row>
    <row r="1891" spans="8:8" ht="15">
      <c r="H1891" s="4"/>
    </row>
    <row r="1892" spans="8:8" ht="15">
      <c r="H1892" s="4"/>
    </row>
    <row r="1893" spans="8:8" ht="15">
      <c r="H1893" s="4"/>
    </row>
    <row r="1894" spans="8:8" ht="15">
      <c r="H1894" s="4"/>
    </row>
    <row r="1895" spans="8:8" ht="15">
      <c r="H1895" s="4"/>
    </row>
    <row r="1896" spans="8:8" ht="15">
      <c r="H1896" s="4"/>
    </row>
    <row r="1897" spans="8:8" ht="15">
      <c r="H1897" s="4"/>
    </row>
    <row r="1898" spans="8:8" ht="15">
      <c r="H1898" s="4"/>
    </row>
    <row r="1899" spans="8:8" ht="15">
      <c r="H1899" s="4"/>
    </row>
    <row r="1900" spans="8:8" ht="15">
      <c r="H1900" s="4"/>
    </row>
    <row r="1901" spans="8:8" ht="15">
      <c r="H1901" s="4"/>
    </row>
    <row r="1902" spans="8:8" ht="15">
      <c r="H1902" s="4"/>
    </row>
    <row r="1903" spans="8:8" ht="15">
      <c r="H1903" s="4"/>
    </row>
    <row r="1904" spans="8:8" ht="15">
      <c r="H1904" s="4"/>
    </row>
    <row r="1905" spans="8:8" ht="15">
      <c r="H1905" s="4"/>
    </row>
    <row r="1906" spans="8:8" ht="15">
      <c r="H1906" s="4"/>
    </row>
    <row r="1907" spans="8:8" ht="15">
      <c r="H1907" s="4"/>
    </row>
    <row r="1908" spans="8:8" ht="15">
      <c r="H1908" s="4"/>
    </row>
    <row r="1909" spans="8:8" ht="15">
      <c r="H1909" s="4"/>
    </row>
    <row r="1910" spans="8:8" ht="15">
      <c r="H1910" s="4"/>
    </row>
    <row r="1911" spans="8:8" ht="15">
      <c r="H1911" s="4"/>
    </row>
    <row r="1912" spans="8:8" ht="15">
      <c r="H1912" s="4"/>
    </row>
    <row r="1913" spans="8:8" ht="15">
      <c r="H1913" s="4"/>
    </row>
    <row r="1914" spans="8:8" ht="15">
      <c r="H1914" s="4"/>
    </row>
    <row r="1915" spans="8:8" ht="15">
      <c r="H1915" s="4"/>
    </row>
    <row r="1916" spans="8:8" ht="15">
      <c r="H1916" s="4"/>
    </row>
    <row r="1917" spans="8:8" ht="15">
      <c r="H1917" s="4"/>
    </row>
    <row r="1918" spans="8:8" ht="15">
      <c r="H1918" s="4"/>
    </row>
    <row r="1919" spans="8:8" ht="15">
      <c r="H1919" s="4"/>
    </row>
    <row r="1920" spans="8:8" ht="15">
      <c r="H1920" s="4"/>
    </row>
    <row r="1921" spans="8:8" ht="15">
      <c r="H1921" s="4"/>
    </row>
    <row r="1922" spans="8:8" ht="15">
      <c r="H1922" s="4"/>
    </row>
    <row r="1923" spans="8:8" ht="15">
      <c r="H1923" s="4"/>
    </row>
    <row r="1924" spans="8:8" ht="15">
      <c r="H1924" s="4"/>
    </row>
    <row r="1925" spans="8:8" ht="15">
      <c r="H1925" s="4"/>
    </row>
    <row r="1926" spans="8:8" ht="15">
      <c r="H1926" s="4"/>
    </row>
    <row r="1927" spans="8:8" ht="15">
      <c r="H1927" s="4"/>
    </row>
    <row r="1928" spans="8:8" ht="15">
      <c r="H1928" s="4"/>
    </row>
    <row r="1929" spans="8:8" ht="15">
      <c r="H1929" s="4"/>
    </row>
    <row r="1930" spans="8:8" ht="15">
      <c r="H1930" s="4"/>
    </row>
    <row r="1931" spans="8:8" ht="15">
      <c r="H1931" s="4"/>
    </row>
    <row r="1932" spans="8:8" ht="15">
      <c r="H1932" s="4"/>
    </row>
    <row r="1933" spans="8:8" ht="15">
      <c r="H1933" s="4"/>
    </row>
    <row r="1934" spans="8:8" ht="15">
      <c r="H1934" s="4"/>
    </row>
    <row r="1935" spans="8:8" ht="15">
      <c r="H1935" s="4"/>
    </row>
    <row r="1936" spans="8:8" ht="15">
      <c r="H1936" s="4"/>
    </row>
    <row r="1937" spans="8:8" ht="15">
      <c r="H1937" s="4"/>
    </row>
    <row r="1938" spans="8:8" ht="15">
      <c r="H1938" s="4"/>
    </row>
    <row r="1939" spans="8:8" ht="15">
      <c r="H1939" s="4"/>
    </row>
    <row r="1940" spans="8:8" ht="15">
      <c r="H1940" s="4"/>
    </row>
    <row r="1941" spans="8:8" ht="15">
      <c r="H1941" s="4"/>
    </row>
    <row r="1942" spans="8:8" ht="15">
      <c r="H1942" s="4"/>
    </row>
    <row r="1943" spans="8:8" ht="15">
      <c r="H1943" s="4"/>
    </row>
    <row r="1944" spans="8:8" ht="15">
      <c r="H1944" s="4"/>
    </row>
    <row r="1945" spans="8:8" ht="15">
      <c r="H1945" s="4"/>
    </row>
    <row r="1946" spans="8:8" ht="15">
      <c r="H1946" s="4"/>
    </row>
    <row r="1947" spans="8:8" ht="15">
      <c r="H1947" s="4"/>
    </row>
    <row r="1948" spans="8:8" ht="15">
      <c r="H1948" s="4"/>
    </row>
    <row r="1949" spans="8:8" ht="15">
      <c r="H1949" s="4"/>
    </row>
    <row r="1950" spans="8:8" ht="15">
      <c r="H1950" s="4"/>
    </row>
    <row r="1951" spans="8:8" ht="15">
      <c r="H1951" s="4"/>
    </row>
    <row r="1952" spans="8:8" ht="15">
      <c r="H1952" s="4"/>
    </row>
    <row r="1953" spans="8:8" ht="15">
      <c r="H1953" s="4"/>
    </row>
    <row r="1954" spans="8:8" ht="15">
      <c r="H1954" s="4"/>
    </row>
    <row r="1955" spans="8:8" ht="15">
      <c r="H1955" s="4"/>
    </row>
    <row r="1956" spans="8:8" ht="15">
      <c r="H1956" s="4"/>
    </row>
    <row r="1957" spans="8:8" ht="15">
      <c r="H1957" s="4"/>
    </row>
    <row r="1958" spans="8:8" ht="15">
      <c r="H1958" s="4"/>
    </row>
    <row r="1959" spans="8:8" ht="15">
      <c r="H1959" s="4"/>
    </row>
    <row r="1960" spans="8:8" ht="15">
      <c r="H1960" s="4"/>
    </row>
    <row r="1961" spans="8:8" ht="15">
      <c r="H1961" s="4"/>
    </row>
    <row r="1962" spans="8:8" ht="15">
      <c r="H1962" s="4"/>
    </row>
    <row r="1963" spans="8:8" ht="15">
      <c r="H1963" s="4"/>
    </row>
    <row r="1964" spans="8:8" ht="15">
      <c r="H1964" s="4"/>
    </row>
    <row r="1965" spans="8:8" ht="15">
      <c r="H1965" s="4"/>
    </row>
    <row r="1966" spans="8:8" ht="15">
      <c r="H1966" s="4"/>
    </row>
    <row r="1967" spans="8:8" ht="15">
      <c r="H1967" s="4"/>
    </row>
    <row r="1968" spans="8:8" ht="15">
      <c r="H1968" s="4"/>
    </row>
    <row r="1969" spans="8:8" ht="15">
      <c r="H1969" s="4"/>
    </row>
    <row r="1970" spans="8:8" ht="15">
      <c r="H1970" s="4"/>
    </row>
    <row r="1971" spans="8:8" ht="15">
      <c r="H1971" s="4"/>
    </row>
    <row r="1972" spans="8:8" ht="15">
      <c r="H1972" s="4"/>
    </row>
    <row r="1973" spans="8:8" ht="15">
      <c r="H1973" s="4"/>
    </row>
    <row r="1974" spans="8:8" ht="15">
      <c r="H1974" s="4"/>
    </row>
    <row r="1975" spans="8:8" ht="15">
      <c r="H1975" s="4"/>
    </row>
    <row r="1976" spans="8:8" ht="15">
      <c r="H1976" s="4"/>
    </row>
    <row r="1977" spans="8:8" ht="15">
      <c r="H1977" s="4"/>
    </row>
    <row r="1978" spans="8:8" ht="15">
      <c r="H1978" s="4"/>
    </row>
    <row r="1979" spans="8:8" ht="15">
      <c r="H1979" s="4"/>
    </row>
    <row r="1980" spans="8:8" ht="15">
      <c r="H1980" s="4"/>
    </row>
    <row r="1981" spans="8:8" ht="15">
      <c r="H1981" s="4"/>
    </row>
    <row r="1982" spans="8:8" ht="15">
      <c r="H1982" s="4"/>
    </row>
    <row r="1983" spans="8:8" ht="15">
      <c r="H1983" s="4"/>
    </row>
    <row r="1984" spans="8:8" ht="15">
      <c r="H1984" s="4"/>
    </row>
    <row r="1985" spans="8:8" ht="15">
      <c r="H1985" s="4"/>
    </row>
    <row r="1986" spans="8:8" ht="15">
      <c r="H1986" s="4"/>
    </row>
    <row r="1987" spans="8:8" ht="15">
      <c r="H1987" s="4"/>
    </row>
    <row r="1988" spans="8:8" ht="15">
      <c r="H1988" s="4"/>
    </row>
    <row r="1989" spans="8:8" ht="15">
      <c r="H1989" s="4"/>
    </row>
    <row r="1990" spans="8:8" ht="15">
      <c r="H1990" s="4"/>
    </row>
    <row r="1991" spans="8:8" ht="15">
      <c r="H1991" s="4"/>
    </row>
    <row r="1992" spans="8:8" ht="15">
      <c r="H1992" s="4"/>
    </row>
    <row r="1993" spans="8:8" ht="15">
      <c r="H1993" s="4"/>
    </row>
    <row r="1994" spans="8:8" ht="15">
      <c r="H1994" s="4"/>
    </row>
    <row r="1995" spans="8:8" ht="15">
      <c r="H1995" s="4"/>
    </row>
    <row r="1996" spans="8:8" ht="15">
      <c r="H1996" s="4"/>
    </row>
    <row r="1997" spans="8:8" ht="15">
      <c r="H1997" s="4"/>
    </row>
    <row r="1998" spans="8:8" ht="15">
      <c r="H1998" s="4"/>
    </row>
    <row r="1999" spans="8:8" ht="15">
      <c r="H1999" s="4"/>
    </row>
    <row r="2000" spans="8:8" ht="15">
      <c r="H2000" s="4"/>
    </row>
    <row r="2001" spans="8:8" ht="15">
      <c r="H2001" s="4"/>
    </row>
    <row r="2002" spans="8:8" ht="15">
      <c r="H2002" s="4"/>
    </row>
    <row r="2003" spans="8:8" ht="15">
      <c r="H2003" s="4"/>
    </row>
    <row r="2004" spans="8:8" ht="15">
      <c r="H2004" s="4"/>
    </row>
    <row r="2005" spans="8:8" ht="15">
      <c r="H2005" s="4"/>
    </row>
    <row r="2006" spans="8:8" ht="15">
      <c r="H2006" s="4"/>
    </row>
    <row r="2007" spans="8:8" ht="15">
      <c r="H2007" s="4"/>
    </row>
    <row r="2008" spans="8:8" ht="15">
      <c r="H2008" s="4"/>
    </row>
    <row r="2009" spans="8:8" ht="15">
      <c r="H2009" s="4"/>
    </row>
    <row r="2010" spans="8:8" ht="15">
      <c r="H2010" s="4"/>
    </row>
    <row r="2011" spans="8:8" ht="15">
      <c r="H2011" s="4"/>
    </row>
    <row r="2012" spans="8:8" ht="15">
      <c r="H2012" s="4"/>
    </row>
    <row r="2013" spans="8:8" ht="15">
      <c r="H2013" s="4"/>
    </row>
    <row r="2014" spans="8:8" ht="15">
      <c r="H2014" s="4"/>
    </row>
    <row r="2015" spans="8:8" ht="15">
      <c r="H2015" s="4"/>
    </row>
    <row r="2016" spans="8:8" ht="15">
      <c r="H2016" s="4"/>
    </row>
    <row r="2017" spans="8:8" ht="15">
      <c r="H2017" s="4"/>
    </row>
    <row r="2018" spans="8:8" ht="15">
      <c r="H2018" s="4"/>
    </row>
    <row r="2019" spans="8:8" ht="15">
      <c r="H2019" s="4"/>
    </row>
    <row r="2020" spans="8:8" ht="15">
      <c r="H2020" s="4"/>
    </row>
    <row r="2021" spans="8:8" ht="15">
      <c r="H2021" s="4"/>
    </row>
    <row r="2022" spans="8:8" ht="15">
      <c r="H2022" s="4"/>
    </row>
    <row r="2023" spans="8:8" ht="15">
      <c r="H2023" s="4"/>
    </row>
    <row r="2024" spans="8:8" ht="15">
      <c r="H2024" s="4"/>
    </row>
    <row r="2025" spans="8:8" ht="15">
      <c r="H2025" s="4"/>
    </row>
    <row r="2026" spans="8:8" ht="15">
      <c r="H2026" s="4"/>
    </row>
    <row r="2027" spans="8:8" ht="15">
      <c r="H2027" s="4"/>
    </row>
    <row r="2028" spans="8:8" ht="15">
      <c r="H2028" s="4"/>
    </row>
    <row r="2029" spans="8:8" ht="15">
      <c r="H2029" s="4"/>
    </row>
    <row r="2030" spans="8:8" ht="15">
      <c r="H2030" s="4"/>
    </row>
    <row r="2031" spans="8:8" ht="15">
      <c r="H2031" s="4"/>
    </row>
    <row r="2032" spans="8:8" ht="15">
      <c r="H2032" s="4"/>
    </row>
    <row r="2033" spans="8:8" ht="15">
      <c r="H2033" s="4"/>
    </row>
    <row r="2034" spans="8:8" ht="15">
      <c r="H2034" s="4"/>
    </row>
    <row r="2035" spans="8:8" ht="15">
      <c r="H2035" s="4"/>
    </row>
    <row r="2036" spans="8:8" ht="15">
      <c r="H2036" s="4"/>
    </row>
    <row r="2037" spans="8:8" ht="15">
      <c r="H2037" s="4"/>
    </row>
    <row r="2038" spans="8:8" ht="15">
      <c r="H2038" s="4"/>
    </row>
    <row r="2039" spans="8:8" ht="15">
      <c r="H2039" s="4"/>
    </row>
    <row r="2040" spans="8:8" ht="15">
      <c r="H2040" s="4"/>
    </row>
    <row r="2041" spans="8:8" ht="15">
      <c r="H2041" s="4"/>
    </row>
    <row r="2042" spans="8:8" ht="15">
      <c r="H2042" s="4"/>
    </row>
    <row r="2043" spans="8:8" ht="15">
      <c r="H2043" s="4"/>
    </row>
    <row r="2044" spans="8:8" ht="15">
      <c r="H2044" s="4"/>
    </row>
    <row r="2045" spans="8:8" ht="15">
      <c r="H2045" s="4"/>
    </row>
    <row r="2046" spans="8:8" ht="15">
      <c r="H2046" s="4"/>
    </row>
    <row r="2047" spans="8:8" ht="15">
      <c r="H2047" s="4"/>
    </row>
    <row r="2048" spans="8:8" ht="15">
      <c r="H2048" s="4"/>
    </row>
    <row r="2049" spans="8:8" ht="15">
      <c r="H2049" s="4"/>
    </row>
    <row r="2050" spans="8:8" ht="15">
      <c r="H2050" s="4"/>
    </row>
    <row r="2051" spans="8:8" ht="15">
      <c r="H2051" s="4"/>
    </row>
    <row r="2052" spans="8:8" ht="15">
      <c r="H2052" s="4"/>
    </row>
    <row r="2053" spans="8:8" ht="15">
      <c r="H2053" s="4"/>
    </row>
    <row r="2054" spans="8:8" ht="15">
      <c r="H2054" s="4"/>
    </row>
    <row r="2055" spans="8:8" ht="15">
      <c r="H2055" s="4"/>
    </row>
    <row r="2056" spans="8:8" ht="15">
      <c r="H2056" s="4"/>
    </row>
    <row r="2057" spans="8:8" ht="15">
      <c r="H2057" s="4"/>
    </row>
    <row r="2058" spans="8:8" ht="15">
      <c r="H2058" s="4"/>
    </row>
    <row r="2059" spans="8:8" ht="15">
      <c r="H2059" s="4"/>
    </row>
    <row r="2060" spans="8:8" ht="15">
      <c r="H2060" s="4"/>
    </row>
    <row r="2061" spans="8:8" ht="15">
      <c r="H2061" s="4"/>
    </row>
    <row r="2062" spans="8:8" ht="15">
      <c r="H2062" s="4"/>
    </row>
    <row r="2063" spans="8:8" ht="15">
      <c r="H2063" s="4"/>
    </row>
    <row r="2064" spans="8:8" ht="15">
      <c r="H2064" s="4"/>
    </row>
    <row r="2065" spans="8:8" ht="15">
      <c r="H2065" s="4"/>
    </row>
    <row r="2066" spans="8:8" ht="15">
      <c r="H2066" s="4"/>
    </row>
    <row r="2067" spans="8:8" ht="15">
      <c r="H2067" s="4"/>
    </row>
    <row r="2068" spans="8:8" ht="15">
      <c r="H2068" s="4"/>
    </row>
    <row r="2069" spans="8:8" ht="15">
      <c r="H2069" s="4"/>
    </row>
    <row r="2070" spans="8:8" ht="15">
      <c r="H2070" s="4"/>
    </row>
    <row r="2071" spans="8:8" ht="15">
      <c r="H2071" s="4"/>
    </row>
    <row r="2072" spans="8:8" ht="15">
      <c r="H2072" s="4"/>
    </row>
    <row r="2073" spans="8:8" ht="15">
      <c r="H2073" s="4"/>
    </row>
    <row r="2074" spans="8:8" ht="15">
      <c r="H2074" s="4"/>
    </row>
    <row r="2075" spans="8:8" ht="15">
      <c r="H2075" s="4"/>
    </row>
    <row r="2076" spans="8:8" ht="15">
      <c r="H2076" s="4"/>
    </row>
    <row r="2077" spans="8:8" ht="15">
      <c r="H2077" s="4"/>
    </row>
    <row r="2078" spans="8:8" ht="15">
      <c r="H2078" s="4"/>
    </row>
    <row r="2079" spans="8:8" ht="15">
      <c r="H2079" s="4"/>
    </row>
    <row r="2080" spans="8:8" ht="15">
      <c r="H2080" s="4"/>
    </row>
    <row r="2081" spans="8:8" ht="15">
      <c r="H2081" s="4"/>
    </row>
    <row r="2082" spans="8:8" ht="15">
      <c r="H2082" s="4"/>
    </row>
    <row r="2083" spans="8:8" ht="15">
      <c r="H2083" s="4"/>
    </row>
    <row r="2084" spans="8:8" ht="15">
      <c r="H2084" s="4"/>
    </row>
    <row r="2085" spans="8:8" ht="15">
      <c r="H2085" s="4"/>
    </row>
    <row r="2086" spans="8:8" ht="15">
      <c r="H2086" s="4"/>
    </row>
    <row r="2087" spans="8:8" ht="15">
      <c r="H2087" s="4"/>
    </row>
    <row r="2088" spans="8:8" ht="15">
      <c r="H2088" s="4"/>
    </row>
    <row r="2089" spans="8:8" ht="15">
      <c r="H2089" s="4"/>
    </row>
    <row r="2090" spans="8:8" ht="15">
      <c r="H2090" s="4"/>
    </row>
    <row r="2091" spans="8:8" ht="15">
      <c r="H2091" s="4"/>
    </row>
    <row r="2092" spans="8:8" ht="15">
      <c r="H2092" s="4"/>
    </row>
    <row r="2093" spans="8:8" ht="15">
      <c r="H2093" s="4"/>
    </row>
    <row r="2094" spans="8:8" ht="15">
      <c r="H2094" s="4"/>
    </row>
    <row r="2095" spans="8:8" ht="15">
      <c r="H2095" s="4"/>
    </row>
    <row r="2096" spans="8:8" ht="15">
      <c r="H2096" s="4"/>
    </row>
    <row r="2097" spans="8:8" ht="15">
      <c r="H2097" s="4"/>
    </row>
    <row r="2098" spans="8:8" ht="15">
      <c r="H2098" s="4"/>
    </row>
    <row r="2099" spans="8:8" ht="15">
      <c r="H2099" s="4"/>
    </row>
    <row r="2100" spans="8:8" ht="15">
      <c r="H2100" s="4"/>
    </row>
    <row r="2101" spans="8:8" ht="15">
      <c r="H2101" s="4"/>
    </row>
    <row r="2102" spans="8:8" ht="15">
      <c r="H2102" s="4"/>
    </row>
    <row r="2103" spans="8:8" ht="15">
      <c r="H2103" s="4"/>
    </row>
    <row r="2104" spans="8:8" ht="15">
      <c r="H2104" s="4"/>
    </row>
    <row r="2105" spans="8:8" ht="15">
      <c r="H2105" s="4"/>
    </row>
    <row r="2106" spans="8:8" ht="15">
      <c r="H2106" s="4"/>
    </row>
    <row r="2107" spans="8:8" ht="15">
      <c r="H2107" s="4"/>
    </row>
    <row r="2108" spans="8:8" ht="15">
      <c r="H2108" s="4"/>
    </row>
    <row r="2109" spans="8:8" ht="15">
      <c r="H2109" s="4"/>
    </row>
    <row r="2110" spans="8:8" ht="15">
      <c r="H2110" s="4"/>
    </row>
    <row r="2111" spans="8:8" ht="15">
      <c r="H2111" s="4"/>
    </row>
    <row r="2112" spans="8:8" ht="15">
      <c r="H2112" s="4"/>
    </row>
    <row r="2113" spans="8:8" ht="15">
      <c r="H2113" s="4"/>
    </row>
    <row r="2114" spans="8:8" ht="15">
      <c r="H2114" s="4"/>
    </row>
    <row r="2115" spans="8:8" ht="15">
      <c r="H2115" s="4"/>
    </row>
    <row r="2116" spans="8:8" ht="15">
      <c r="H2116" s="4"/>
    </row>
    <row r="2117" spans="8:8" ht="15">
      <c r="H2117" s="4"/>
    </row>
    <row r="2118" spans="8:8" ht="15">
      <c r="H2118" s="4"/>
    </row>
    <row r="2119" spans="8:8" ht="15">
      <c r="H2119" s="4"/>
    </row>
    <row r="2120" spans="8:8" ht="15">
      <c r="H2120" s="4"/>
    </row>
    <row r="2121" spans="8:8" ht="15">
      <c r="H2121" s="4"/>
    </row>
    <row r="2122" spans="8:8" ht="15">
      <c r="H2122" s="4"/>
    </row>
    <row r="2123" spans="8:8" ht="15">
      <c r="H2123" s="4"/>
    </row>
    <row r="2124" spans="8:8" ht="15">
      <c r="H2124" s="4"/>
    </row>
    <row r="2125" spans="8:8" ht="15">
      <c r="H2125" s="4"/>
    </row>
    <row r="2126" spans="8:8" ht="15">
      <c r="H2126" s="4"/>
    </row>
    <row r="2127" spans="8:8" ht="15">
      <c r="H2127" s="4"/>
    </row>
    <row r="2128" spans="8:8" ht="15">
      <c r="H2128" s="4"/>
    </row>
    <row r="2129" spans="8:8" ht="15">
      <c r="H2129" s="4"/>
    </row>
    <row r="2130" spans="8:8" ht="15">
      <c r="H2130" s="4"/>
    </row>
    <row r="2131" spans="8:8" ht="15">
      <c r="H2131" s="4"/>
    </row>
    <row r="2132" spans="8:8" ht="15">
      <c r="H2132" s="4"/>
    </row>
    <row r="2133" spans="8:8" ht="15">
      <c r="H2133" s="4"/>
    </row>
    <row r="2134" spans="8:8" ht="15">
      <c r="H2134" s="4"/>
    </row>
    <row r="2135" spans="8:8" ht="15">
      <c r="H2135" s="4"/>
    </row>
    <row r="2136" spans="8:8" ht="15">
      <c r="H2136" s="4"/>
    </row>
    <row r="2137" spans="8:8" ht="15">
      <c r="H2137" s="4"/>
    </row>
    <row r="2138" spans="8:8" ht="15">
      <c r="H2138" s="4"/>
    </row>
    <row r="2139" spans="8:8" ht="15">
      <c r="H2139" s="4"/>
    </row>
    <row r="2140" spans="8:8" ht="15">
      <c r="H2140" s="4"/>
    </row>
    <row r="2141" spans="8:8" ht="15">
      <c r="H2141" s="4"/>
    </row>
    <row r="2142" spans="8:8" ht="15">
      <c r="H2142" s="4"/>
    </row>
    <row r="2143" spans="8:8" ht="15">
      <c r="H2143" s="4"/>
    </row>
    <row r="2144" spans="8:8" ht="15">
      <c r="H2144" s="4"/>
    </row>
    <row r="2145" spans="8:8" ht="15">
      <c r="H2145" s="4"/>
    </row>
    <row r="2146" spans="8:8" ht="15">
      <c r="H2146" s="4"/>
    </row>
    <row r="2147" spans="8:8" ht="15">
      <c r="H2147" s="4"/>
    </row>
    <row r="2148" spans="8:8" ht="15">
      <c r="H2148" s="4"/>
    </row>
    <row r="2149" spans="8:8" ht="15">
      <c r="H2149" s="4"/>
    </row>
    <row r="2150" spans="8:8" ht="15">
      <c r="H2150" s="4"/>
    </row>
    <row r="2151" spans="8:8" ht="15">
      <c r="H2151" s="4"/>
    </row>
    <row r="2152" spans="8:8" ht="15">
      <c r="H2152" s="4"/>
    </row>
    <row r="2153" spans="8:8" ht="15">
      <c r="H2153" s="4"/>
    </row>
    <row r="2154" spans="8:8" ht="15">
      <c r="H2154" s="4"/>
    </row>
    <row r="2155" spans="8:8" ht="15">
      <c r="H2155" s="4"/>
    </row>
    <row r="2156" spans="8:8" ht="15">
      <c r="H2156" s="4"/>
    </row>
    <row r="2157" spans="8:8" ht="15">
      <c r="H2157" s="4"/>
    </row>
    <row r="2158" spans="8:8" ht="15">
      <c r="H2158" s="4"/>
    </row>
    <row r="2159" spans="8:8" ht="15">
      <c r="H2159" s="4"/>
    </row>
    <row r="2160" spans="8:8" ht="15">
      <c r="H2160" s="4"/>
    </row>
    <row r="2161" spans="8:8" ht="15">
      <c r="H2161" s="4"/>
    </row>
    <row r="2162" spans="8:8" ht="15">
      <c r="H2162" s="4"/>
    </row>
    <row r="2163" spans="8:8" ht="15">
      <c r="H2163" s="4"/>
    </row>
    <row r="2164" spans="8:8" ht="15">
      <c r="H2164" s="4"/>
    </row>
    <row r="2165" spans="8:8" ht="15">
      <c r="H2165" s="4"/>
    </row>
    <row r="2166" spans="8:8" ht="15">
      <c r="H2166" s="4"/>
    </row>
    <row r="2167" spans="8:8" ht="15">
      <c r="H2167" s="4"/>
    </row>
    <row r="2168" spans="8:8" ht="15">
      <c r="H2168" s="4"/>
    </row>
    <row r="2169" spans="8:8" ht="15">
      <c r="H2169" s="4"/>
    </row>
    <row r="2170" spans="8:8" ht="15">
      <c r="H2170" s="4"/>
    </row>
    <row r="2171" spans="8:8" ht="15">
      <c r="H2171" s="4"/>
    </row>
    <row r="2172" spans="8:8" ht="15">
      <c r="H2172" s="4"/>
    </row>
    <row r="2173" spans="8:8" ht="15">
      <c r="H2173" s="4"/>
    </row>
    <row r="2174" spans="8:8" ht="15">
      <c r="H2174" s="4"/>
    </row>
    <row r="2175" spans="8:8" ht="15">
      <c r="H2175" s="4"/>
    </row>
    <row r="2176" spans="8:8" ht="15">
      <c r="H2176" s="4"/>
    </row>
    <row r="2177" spans="8:8" ht="15">
      <c r="H2177" s="4"/>
    </row>
    <row r="2178" spans="8:8" ht="15">
      <c r="H2178" s="4"/>
    </row>
    <row r="2179" spans="8:8" ht="15">
      <c r="H2179" s="4"/>
    </row>
    <row r="2180" spans="8:8" ht="15">
      <c r="H2180" s="4"/>
    </row>
    <row r="2181" spans="8:8" ht="15">
      <c r="H2181" s="4"/>
    </row>
    <row r="2182" spans="8:8" ht="15">
      <c r="H2182" s="4"/>
    </row>
    <row r="2183" spans="8:8" ht="15">
      <c r="H2183" s="4"/>
    </row>
    <row r="2184" spans="8:8" ht="15">
      <c r="H2184" s="4"/>
    </row>
    <row r="2185" spans="8:8" ht="15">
      <c r="H2185" s="4"/>
    </row>
    <row r="2186" spans="8:8" ht="15">
      <c r="H2186" s="4"/>
    </row>
    <row r="2187" spans="8:8" ht="15">
      <c r="H2187" s="4"/>
    </row>
    <row r="2188" spans="8:8" ht="15">
      <c r="H2188" s="4"/>
    </row>
    <row r="2189" spans="8:8" ht="15">
      <c r="H2189" s="4"/>
    </row>
    <row r="2190" spans="8:8" ht="15">
      <c r="H2190" s="4"/>
    </row>
    <row r="2191" spans="8:8" ht="15">
      <c r="H2191" s="4"/>
    </row>
    <row r="2192" spans="8:8" ht="15">
      <c r="H2192" s="4"/>
    </row>
    <row r="2193" spans="8:8" ht="15">
      <c r="H2193" s="4"/>
    </row>
    <row r="2194" spans="8:8" ht="15">
      <c r="H2194" s="4"/>
    </row>
    <row r="2195" spans="8:8" ht="15">
      <c r="H2195" s="4"/>
    </row>
    <row r="2196" spans="8:8" ht="15">
      <c r="H2196" s="4"/>
    </row>
    <row r="2197" spans="8:8" ht="15">
      <c r="H2197" s="4"/>
    </row>
    <row r="2198" spans="8:8" ht="15">
      <c r="H2198" s="4"/>
    </row>
    <row r="2199" spans="8:8" ht="15">
      <c r="H2199" s="4"/>
    </row>
    <row r="2200" spans="8:8" ht="15">
      <c r="H2200" s="4"/>
    </row>
    <row r="2201" spans="8:8" ht="15">
      <c r="H2201" s="4"/>
    </row>
    <row r="2202" spans="8:8" ht="15">
      <c r="H2202" s="4"/>
    </row>
    <row r="2203" spans="8:8" ht="15">
      <c r="H2203" s="4"/>
    </row>
    <row r="2204" spans="8:8" ht="15">
      <c r="H2204" s="4"/>
    </row>
    <row r="2205" spans="8:8" ht="15">
      <c r="H2205" s="4"/>
    </row>
    <row r="2206" spans="8:8" ht="15">
      <c r="H2206" s="4"/>
    </row>
    <row r="2207" spans="8:8" ht="15">
      <c r="H2207" s="4"/>
    </row>
    <row r="2208" spans="8:8" ht="15">
      <c r="H2208" s="4"/>
    </row>
    <row r="2209" spans="8:8" ht="15">
      <c r="H2209" s="4"/>
    </row>
    <row r="2210" spans="8:8" ht="15">
      <c r="H2210" s="4"/>
    </row>
    <row r="2211" spans="8:8" ht="15">
      <c r="H2211" s="4"/>
    </row>
    <row r="2212" spans="8:8" ht="15">
      <c r="H2212" s="4"/>
    </row>
    <row r="2213" spans="8:8" ht="15">
      <c r="H2213" s="4"/>
    </row>
    <row r="2214" spans="8:8" ht="15">
      <c r="H2214" s="4"/>
    </row>
    <row r="2215" spans="8:8" ht="15">
      <c r="H2215" s="4"/>
    </row>
    <row r="2216" spans="8:8" ht="15">
      <c r="H2216" s="4"/>
    </row>
    <row r="2217" spans="8:8" ht="15">
      <c r="H2217" s="4"/>
    </row>
    <row r="2218" spans="8:8" ht="15">
      <c r="H2218" s="4"/>
    </row>
    <row r="2219" spans="8:8" ht="15">
      <c r="H2219" s="4"/>
    </row>
    <row r="2220" spans="8:8" ht="15">
      <c r="H2220" s="4"/>
    </row>
    <row r="2221" spans="8:8" ht="15">
      <c r="H2221" s="4"/>
    </row>
    <row r="2222" spans="8:8" ht="15">
      <c r="H2222" s="4"/>
    </row>
    <row r="2223" spans="8:8" ht="15">
      <c r="H2223" s="4"/>
    </row>
    <row r="2224" spans="8:8" ht="15">
      <c r="H2224" s="4"/>
    </row>
    <row r="2225" spans="8:8" ht="15">
      <c r="H2225" s="4"/>
    </row>
    <row r="2226" spans="8:8" ht="15">
      <c r="H2226" s="4"/>
    </row>
    <row r="2227" spans="8:8" ht="15">
      <c r="H2227" s="4"/>
    </row>
    <row r="2228" spans="8:8" ht="15">
      <c r="H2228" s="4"/>
    </row>
    <row r="2229" spans="8:8" ht="15">
      <c r="H2229" s="4"/>
    </row>
    <row r="2230" spans="8:8" ht="15">
      <c r="H2230" s="4"/>
    </row>
    <row r="2231" spans="8:8" ht="15">
      <c r="H2231" s="4"/>
    </row>
    <row r="2232" spans="8:8" ht="15">
      <c r="H2232" s="4"/>
    </row>
    <row r="2233" spans="8:8" ht="15">
      <c r="H2233" s="4"/>
    </row>
    <row r="2234" spans="8:8" ht="15">
      <c r="H2234" s="4"/>
    </row>
    <row r="2235" spans="8:8" ht="15">
      <c r="H2235" s="4"/>
    </row>
    <row r="2236" spans="8:8" ht="15">
      <c r="H2236" s="4"/>
    </row>
    <row r="2237" spans="8:8" ht="15">
      <c r="H2237" s="4"/>
    </row>
    <row r="2238" spans="8:8" ht="15">
      <c r="H2238" s="4"/>
    </row>
    <row r="2239" spans="8:8" ht="15">
      <c r="H2239" s="4"/>
    </row>
    <row r="2240" spans="8:8" ht="15">
      <c r="H2240" s="4"/>
    </row>
    <row r="2241" spans="8:8" ht="15">
      <c r="H2241" s="4"/>
    </row>
    <row r="2242" spans="8:8" ht="15">
      <c r="H2242" s="4"/>
    </row>
    <row r="2243" spans="8:8" ht="15">
      <c r="H2243" s="4"/>
    </row>
    <row r="2244" spans="8:8" ht="15">
      <c r="H2244" s="4"/>
    </row>
    <row r="2245" spans="8:8" ht="15">
      <c r="H2245" s="4"/>
    </row>
    <row r="2246" spans="8:8" ht="15">
      <c r="H2246" s="4"/>
    </row>
    <row r="2247" spans="8:8" ht="15">
      <c r="H2247" s="4"/>
    </row>
    <row r="2248" spans="8:8" ht="15">
      <c r="H2248" s="4"/>
    </row>
    <row r="2249" spans="8:8" ht="15">
      <c r="H2249" s="4"/>
    </row>
    <row r="2250" spans="8:8" ht="15">
      <c r="H2250" s="4"/>
    </row>
    <row r="2251" spans="8:8" ht="15">
      <c r="H2251" s="4"/>
    </row>
    <row r="2252" spans="8:8" ht="15">
      <c r="H2252" s="4"/>
    </row>
    <row r="2253" spans="8:8" ht="15">
      <c r="H2253" s="4"/>
    </row>
    <row r="2254" spans="8:8" ht="15">
      <c r="H2254" s="4"/>
    </row>
    <row r="2255" spans="8:8" ht="15">
      <c r="H2255" s="4"/>
    </row>
    <row r="2256" spans="8:8" ht="15">
      <c r="H2256" s="4"/>
    </row>
    <row r="2257" spans="8:8" ht="15">
      <c r="H2257" s="4"/>
    </row>
    <row r="2258" spans="8:8" ht="15">
      <c r="H2258" s="4"/>
    </row>
    <row r="2259" spans="8:8" ht="15">
      <c r="H2259" s="4"/>
    </row>
    <row r="2260" spans="8:8" ht="15">
      <c r="H2260" s="4"/>
    </row>
    <row r="2261" spans="8:8" ht="15">
      <c r="H2261" s="4"/>
    </row>
    <row r="2262" spans="8:8" ht="15">
      <c r="H2262" s="4"/>
    </row>
    <row r="2263" spans="8:8" ht="15">
      <c r="H2263" s="4"/>
    </row>
    <row r="2264" spans="8:8" ht="15">
      <c r="H2264" s="4"/>
    </row>
    <row r="2265" spans="8:8" ht="15">
      <c r="H2265" s="4"/>
    </row>
    <row r="2266" spans="8:8" ht="15">
      <c r="H2266" s="4"/>
    </row>
    <row r="2267" spans="8:8" ht="15">
      <c r="H2267" s="4"/>
    </row>
    <row r="2268" spans="8:8" ht="15">
      <c r="H2268" s="4"/>
    </row>
    <row r="2269" spans="8:8" ht="15">
      <c r="H2269" s="4"/>
    </row>
    <row r="2270" spans="8:8" ht="15">
      <c r="H2270" s="4"/>
    </row>
    <row r="2271" spans="8:8" ht="15">
      <c r="H2271" s="4"/>
    </row>
    <row r="2272" spans="8:8" ht="15">
      <c r="H2272" s="4"/>
    </row>
    <row r="2273" spans="8:8" ht="15">
      <c r="H2273" s="4"/>
    </row>
    <row r="2274" spans="8:8" ht="15">
      <c r="H2274" s="4"/>
    </row>
    <row r="2275" spans="8:8" ht="15">
      <c r="H2275" s="4"/>
    </row>
    <row r="2276" spans="8:8" ht="15">
      <c r="H2276" s="4"/>
    </row>
    <row r="2277" spans="8:8" ht="15">
      <c r="H2277" s="4"/>
    </row>
    <row r="2278" spans="8:8" ht="15">
      <c r="H2278" s="4"/>
    </row>
    <row r="2279" spans="8:8" ht="15">
      <c r="H2279" s="4"/>
    </row>
    <row r="2280" spans="8:8" ht="15">
      <c r="H2280" s="4"/>
    </row>
    <row r="2281" spans="8:8" ht="15">
      <c r="H2281" s="4"/>
    </row>
    <row r="2282" spans="8:8" ht="15">
      <c r="H2282" s="4"/>
    </row>
    <row r="2283" spans="8:8" ht="15">
      <c r="H2283" s="4"/>
    </row>
    <row r="2284" spans="8:8" ht="15">
      <c r="H2284" s="4"/>
    </row>
    <row r="2285" spans="8:8" ht="15">
      <c r="H2285" s="4"/>
    </row>
    <row r="2286" spans="8:8" ht="15">
      <c r="H2286" s="4"/>
    </row>
    <row r="2287" spans="8:8" ht="15">
      <c r="H2287" s="4"/>
    </row>
    <row r="2288" spans="8:8" ht="15">
      <c r="H2288" s="4"/>
    </row>
    <row r="2289" spans="8:8" ht="15">
      <c r="H2289" s="4"/>
    </row>
    <row r="2290" spans="8:8" ht="15">
      <c r="H2290" s="4"/>
    </row>
    <row r="2291" spans="8:8" ht="15">
      <c r="H2291" s="4"/>
    </row>
    <row r="2292" spans="8:8" ht="15">
      <c r="H2292" s="4"/>
    </row>
    <row r="2293" spans="8:8" ht="15">
      <c r="H2293" s="4"/>
    </row>
    <row r="2294" spans="8:8" ht="15">
      <c r="H2294" s="4"/>
    </row>
    <row r="2295" spans="8:8" ht="15">
      <c r="H2295" s="4"/>
    </row>
    <row r="2296" spans="8:8" ht="15">
      <c r="H2296" s="4"/>
    </row>
    <row r="2297" spans="8:8" ht="15">
      <c r="H2297" s="4"/>
    </row>
    <row r="2298" spans="8:8" ht="15">
      <c r="H2298" s="4"/>
    </row>
    <row r="2299" spans="8:8" ht="15">
      <c r="H2299" s="4"/>
    </row>
    <row r="2300" spans="8:8" ht="15">
      <c r="H2300" s="4"/>
    </row>
    <row r="2301" spans="8:8" ht="15">
      <c r="H2301" s="4"/>
    </row>
    <row r="2302" spans="8:8" ht="15">
      <c r="H2302" s="4"/>
    </row>
    <row r="2303" spans="8:8" ht="15">
      <c r="H2303" s="4"/>
    </row>
    <row r="2304" spans="8:8" ht="15">
      <c r="H2304" s="4"/>
    </row>
    <row r="2305" spans="8:8" ht="15">
      <c r="H2305" s="4"/>
    </row>
    <row r="2306" spans="8:8" ht="15">
      <c r="H2306" s="4"/>
    </row>
    <row r="2307" spans="8:8" ht="15">
      <c r="H2307" s="4"/>
    </row>
    <row r="2308" spans="8:8" ht="15">
      <c r="H2308" s="4"/>
    </row>
    <row r="2309" spans="8:8" ht="15">
      <c r="H2309" s="4"/>
    </row>
    <row r="2310" spans="8:8" ht="15">
      <c r="H2310" s="4"/>
    </row>
    <row r="2311" spans="8:8" ht="15">
      <c r="H2311" s="4"/>
    </row>
    <row r="2312" spans="8:8" ht="15">
      <c r="H2312" s="4"/>
    </row>
    <row r="2313" spans="8:8" ht="15">
      <c r="H2313" s="4"/>
    </row>
    <row r="2314" spans="8:8" ht="15">
      <c r="H2314" s="4"/>
    </row>
    <row r="2315" spans="8:8" ht="15">
      <c r="H2315" s="4"/>
    </row>
    <row r="2316" spans="8:8" ht="15">
      <c r="H2316" s="4"/>
    </row>
    <row r="2317" spans="8:8" ht="15">
      <c r="H2317" s="4"/>
    </row>
    <row r="2318" spans="8:8" ht="15">
      <c r="H2318" s="4"/>
    </row>
    <row r="2319" spans="8:8" ht="15">
      <c r="H2319" s="4"/>
    </row>
    <row r="2320" spans="8:8" ht="15">
      <c r="H2320" s="4"/>
    </row>
    <row r="2321" spans="8:8" ht="15">
      <c r="H2321" s="4"/>
    </row>
    <row r="2322" spans="8:8" ht="15">
      <c r="H2322" s="4"/>
    </row>
    <row r="2323" spans="8:8" ht="15">
      <c r="H2323" s="4"/>
    </row>
    <row r="2324" spans="8:8" ht="15">
      <c r="H2324" s="4"/>
    </row>
    <row r="2325" spans="8:8" ht="15">
      <c r="H2325" s="4"/>
    </row>
    <row r="2326" spans="8:8" ht="15">
      <c r="H2326" s="4"/>
    </row>
    <row r="2327" spans="8:8" ht="15">
      <c r="H2327" s="4"/>
    </row>
    <row r="2328" spans="8:8" ht="15">
      <c r="H2328" s="4"/>
    </row>
    <row r="2329" spans="8:8" ht="15">
      <c r="H2329" s="4"/>
    </row>
    <row r="2330" spans="8:8" ht="15">
      <c r="H2330" s="4"/>
    </row>
    <row r="2331" spans="8:8" ht="15">
      <c r="H2331" s="4"/>
    </row>
    <row r="2332" spans="8:8" ht="15">
      <c r="H2332" s="4"/>
    </row>
    <row r="2333" spans="8:8" ht="15">
      <c r="H2333" s="4"/>
    </row>
    <row r="2334" spans="8:8" ht="15">
      <c r="H2334" s="4"/>
    </row>
    <row r="2335" spans="8:8" ht="15">
      <c r="H2335" s="4"/>
    </row>
    <row r="2336" spans="8:8" ht="15">
      <c r="H2336" s="4"/>
    </row>
    <row r="2337" spans="8:8" ht="15">
      <c r="H2337" s="4"/>
    </row>
    <row r="2338" spans="8:8" ht="15">
      <c r="H2338" s="4"/>
    </row>
    <row r="2339" spans="8:8" ht="15">
      <c r="H2339" s="4"/>
    </row>
    <row r="2340" spans="8:8" ht="15">
      <c r="H2340" s="4"/>
    </row>
    <row r="2341" spans="8:8" ht="15">
      <c r="H2341" s="4"/>
    </row>
    <row r="2342" spans="8:8" ht="15">
      <c r="H2342" s="4"/>
    </row>
    <row r="2343" spans="8:8" ht="15">
      <c r="H2343" s="4"/>
    </row>
    <row r="2344" spans="8:8" ht="15">
      <c r="H2344" s="4"/>
    </row>
    <row r="2345" spans="8:8" ht="15">
      <c r="H2345" s="4"/>
    </row>
    <row r="2346" spans="8:8" ht="15">
      <c r="H2346" s="4"/>
    </row>
    <row r="2347" spans="8:8" ht="15">
      <c r="H2347" s="4"/>
    </row>
    <row r="2348" spans="8:8" ht="15">
      <c r="H2348" s="4"/>
    </row>
    <row r="2349" spans="8:8" ht="15">
      <c r="H2349" s="4"/>
    </row>
    <row r="2350" spans="8:8" ht="15">
      <c r="H2350" s="4"/>
    </row>
    <row r="2351" spans="8:8" ht="15">
      <c r="H2351" s="4"/>
    </row>
    <row r="2352" spans="8:8" ht="15">
      <c r="H2352" s="4"/>
    </row>
    <row r="2353" spans="8:8" ht="15">
      <c r="H2353" s="4"/>
    </row>
    <row r="2354" spans="8:8" ht="15">
      <c r="H2354" s="4"/>
    </row>
    <row r="2355" spans="8:8" ht="15">
      <c r="H2355" s="4"/>
    </row>
    <row r="2356" spans="8:8" ht="15">
      <c r="H2356" s="4"/>
    </row>
    <row r="2357" spans="8:8" ht="15">
      <c r="H2357" s="4"/>
    </row>
    <row r="2358" spans="8:8" ht="15">
      <c r="H2358" s="4"/>
    </row>
    <row r="2359" spans="8:8" ht="15">
      <c r="H2359" s="4"/>
    </row>
    <row r="2360" spans="8:8" ht="15">
      <c r="H2360" s="4"/>
    </row>
    <row r="2361" spans="8:8" ht="15">
      <c r="H2361" s="4"/>
    </row>
    <row r="2362" spans="8:8" ht="15">
      <c r="H2362" s="4"/>
    </row>
    <row r="2363" spans="8:8" ht="15">
      <c r="H2363" s="4"/>
    </row>
    <row r="2364" spans="8:8" ht="15">
      <c r="H2364" s="4"/>
    </row>
    <row r="2365" spans="8:8" ht="15">
      <c r="H2365" s="4"/>
    </row>
    <row r="2366" spans="8:8" ht="15">
      <c r="H2366" s="4"/>
    </row>
    <row r="2367" spans="8:8" ht="15">
      <c r="H2367" s="4"/>
    </row>
    <row r="2368" spans="8:8" ht="15">
      <c r="H2368" s="4"/>
    </row>
    <row r="2369" spans="8:8" ht="15">
      <c r="H2369" s="4"/>
    </row>
    <row r="2370" spans="8:8" ht="15">
      <c r="H2370" s="4"/>
    </row>
    <row r="2371" spans="8:8" ht="15">
      <c r="H2371" s="4"/>
    </row>
    <row r="2372" spans="8:8" ht="15">
      <c r="H2372" s="4"/>
    </row>
    <row r="2373" spans="8:8" ht="15">
      <c r="H2373" s="4"/>
    </row>
    <row r="2374" spans="8:8" ht="15">
      <c r="H2374" s="4"/>
    </row>
    <row r="2375" spans="8:8" ht="15">
      <c r="H2375" s="4"/>
    </row>
    <row r="2376" spans="8:8" ht="15">
      <c r="H2376" s="4"/>
    </row>
    <row r="2377" spans="8:8" ht="15">
      <c r="H2377" s="4"/>
    </row>
    <row r="2378" spans="8:8" ht="15">
      <c r="H2378" s="4"/>
    </row>
    <row r="2379" spans="8:8" ht="15">
      <c r="H2379" s="4"/>
    </row>
    <row r="2380" spans="8:8" ht="15">
      <c r="H2380" s="4"/>
    </row>
    <row r="2381" spans="8:8" ht="15">
      <c r="H2381" s="4"/>
    </row>
    <row r="2382" spans="8:8" ht="15">
      <c r="H2382" s="4"/>
    </row>
    <row r="2383" spans="8:8" ht="15">
      <c r="H2383" s="4"/>
    </row>
    <row r="2384" spans="8:8" ht="15">
      <c r="H2384" s="4"/>
    </row>
    <row r="2385" spans="8:8" ht="15">
      <c r="H2385" s="4"/>
    </row>
    <row r="2386" spans="8:8" ht="15">
      <c r="H2386" s="4"/>
    </row>
    <row r="2387" spans="8:8" ht="15">
      <c r="H2387" s="4"/>
    </row>
    <row r="2388" spans="8:8" ht="15">
      <c r="H2388" s="4"/>
    </row>
    <row r="2389" spans="8:8" ht="15">
      <c r="H2389" s="4"/>
    </row>
    <row r="2390" spans="8:8" ht="15">
      <c r="H2390" s="4"/>
    </row>
    <row r="2391" spans="8:8" ht="15">
      <c r="H2391" s="4"/>
    </row>
    <row r="2392" spans="8:8" ht="15">
      <c r="H2392" s="4"/>
    </row>
    <row r="2393" spans="8:8" ht="15">
      <c r="H2393" s="4"/>
    </row>
    <row r="2394" spans="8:8" ht="15">
      <c r="H2394" s="4"/>
    </row>
    <row r="2395" spans="8:8" ht="15">
      <c r="H2395" s="4"/>
    </row>
    <row r="2396" spans="8:8" ht="15">
      <c r="H2396" s="4"/>
    </row>
    <row r="2397" spans="8:8" ht="15">
      <c r="H2397" s="4"/>
    </row>
    <row r="2398" spans="8:8" ht="15">
      <c r="H2398" s="4"/>
    </row>
    <row r="2399" spans="8:8" ht="15">
      <c r="H2399" s="4"/>
    </row>
    <row r="2400" spans="8:8" ht="15">
      <c r="H2400" s="4"/>
    </row>
    <row r="2401" spans="8:8" ht="15">
      <c r="H2401" s="4"/>
    </row>
    <row r="2402" spans="8:8" ht="15">
      <c r="H2402" s="4"/>
    </row>
    <row r="2403" spans="8:8" ht="15">
      <c r="H2403" s="4"/>
    </row>
    <row r="2404" spans="8:8" ht="15">
      <c r="H2404" s="4"/>
    </row>
    <row r="2405" spans="8:8" ht="15">
      <c r="H2405" s="4"/>
    </row>
    <row r="2406" spans="8:8" ht="15">
      <c r="H2406" s="4"/>
    </row>
    <row r="2407" spans="8:8" ht="15">
      <c r="H2407" s="4"/>
    </row>
    <row r="2408" spans="8:8" ht="15">
      <c r="H2408" s="4"/>
    </row>
    <row r="2409" spans="8:8" ht="15">
      <c r="H2409" s="4"/>
    </row>
    <row r="2410" spans="8:8" ht="15">
      <c r="H2410" s="4"/>
    </row>
    <row r="2411" spans="8:8" ht="15">
      <c r="H2411" s="4"/>
    </row>
    <row r="2412" spans="8:8" ht="15">
      <c r="H2412" s="4"/>
    </row>
    <row r="2413" spans="8:8" ht="15">
      <c r="H2413" s="4"/>
    </row>
    <row r="2414" spans="8:8" ht="15">
      <c r="H2414" s="4"/>
    </row>
    <row r="2415" spans="8:8" ht="15">
      <c r="H2415" s="4"/>
    </row>
    <row r="2416" spans="8:8" ht="15">
      <c r="H2416" s="4"/>
    </row>
    <row r="2417" spans="8:8" ht="15">
      <c r="H2417" s="4"/>
    </row>
    <row r="2418" spans="8:8" ht="15">
      <c r="H2418" s="4"/>
    </row>
    <row r="2419" spans="8:8" ht="15">
      <c r="H2419" s="4"/>
    </row>
    <row r="2420" spans="8:8" ht="15">
      <c r="H2420" s="4"/>
    </row>
    <row r="2421" spans="8:8" ht="15">
      <c r="H2421" s="4"/>
    </row>
    <row r="2422" spans="8:8" ht="15">
      <c r="H2422" s="4"/>
    </row>
    <row r="2423" spans="8:8" ht="15">
      <c r="H2423" s="4"/>
    </row>
    <row r="2424" spans="8:8" ht="15">
      <c r="H2424" s="4"/>
    </row>
    <row r="2425" spans="8:8" ht="15">
      <c r="H2425" s="4"/>
    </row>
    <row r="2426" spans="8:8" ht="15">
      <c r="H2426" s="4"/>
    </row>
    <row r="2427" spans="8:8" ht="15">
      <c r="H2427" s="4"/>
    </row>
    <row r="2428" spans="8:8" ht="15">
      <c r="H2428" s="4"/>
    </row>
    <row r="2429" spans="8:8" ht="15">
      <c r="H2429" s="4"/>
    </row>
    <row r="2430" spans="8:8" ht="15">
      <c r="H2430" s="4"/>
    </row>
    <row r="2431" spans="8:8" ht="15">
      <c r="H2431" s="4"/>
    </row>
    <row r="2432" spans="8:8" ht="15">
      <c r="H2432" s="4"/>
    </row>
    <row r="2433" spans="8:8" ht="15">
      <c r="H2433" s="4"/>
    </row>
    <row r="2434" spans="8:8" ht="15">
      <c r="H2434" s="4"/>
    </row>
    <row r="2435" spans="8:8" ht="15">
      <c r="H2435" s="4"/>
    </row>
    <row r="2436" spans="8:8" ht="15">
      <c r="H2436" s="4"/>
    </row>
    <row r="2437" spans="8:8" ht="15">
      <c r="H2437" s="4"/>
    </row>
    <row r="2438" spans="8:8" ht="15">
      <c r="H2438" s="4"/>
    </row>
    <row r="2439" spans="8:8" ht="15">
      <c r="H2439" s="4"/>
    </row>
    <row r="2440" spans="8:8" ht="15">
      <c r="H2440" s="4"/>
    </row>
    <row r="2441" spans="8:8" ht="15">
      <c r="H2441" s="4"/>
    </row>
    <row r="2442" spans="8:8" ht="15">
      <c r="H2442" s="4"/>
    </row>
    <row r="2443" spans="8:8" ht="15">
      <c r="H2443" s="4"/>
    </row>
    <row r="2444" spans="8:8" ht="15">
      <c r="H2444" s="4"/>
    </row>
    <row r="2445" spans="8:8" ht="15">
      <c r="H2445" s="4"/>
    </row>
    <row r="2446" spans="8:8" ht="15">
      <c r="H2446" s="4"/>
    </row>
    <row r="2447" spans="8:8" ht="15">
      <c r="H2447" s="4"/>
    </row>
    <row r="2448" spans="8:8" ht="15">
      <c r="H2448" s="4"/>
    </row>
    <row r="2449" spans="8:8" ht="15">
      <c r="H2449" s="4"/>
    </row>
    <row r="2450" spans="8:8" ht="15">
      <c r="H2450" s="4"/>
    </row>
    <row r="2451" spans="8:8" ht="15">
      <c r="H2451" s="4"/>
    </row>
    <row r="2452" spans="8:8" ht="15">
      <c r="H2452" s="4"/>
    </row>
    <row r="2453" spans="8:8" ht="15">
      <c r="H2453" s="4"/>
    </row>
    <row r="2454" spans="8:8" ht="15">
      <c r="H2454" s="4"/>
    </row>
    <row r="2455" spans="8:8" ht="15">
      <c r="H2455" s="4"/>
    </row>
    <row r="2456" spans="8:8" ht="15">
      <c r="H2456" s="4"/>
    </row>
    <row r="2457" spans="8:8" ht="15">
      <c r="H2457" s="4"/>
    </row>
    <row r="2458" spans="8:8" ht="15">
      <c r="H2458" s="4"/>
    </row>
    <row r="2459" spans="8:8" ht="15">
      <c r="H2459" s="4"/>
    </row>
    <row r="2460" spans="8:8" ht="15">
      <c r="H2460" s="4"/>
    </row>
    <row r="2461" spans="8:8" ht="15">
      <c r="H2461" s="4"/>
    </row>
    <row r="2462" spans="8:8" ht="15">
      <c r="H2462" s="4"/>
    </row>
    <row r="2463" spans="8:8" ht="15">
      <c r="H2463" s="4"/>
    </row>
    <row r="2464" spans="8:8" ht="15">
      <c r="H2464" s="4"/>
    </row>
    <row r="2465" spans="8:8" ht="15">
      <c r="H2465" s="4"/>
    </row>
    <row r="2466" spans="8:8" ht="15">
      <c r="H2466" s="4"/>
    </row>
    <row r="2467" spans="8:8" ht="15">
      <c r="H2467" s="4"/>
    </row>
    <row r="2468" spans="8:8" ht="15">
      <c r="H2468" s="4"/>
    </row>
    <row r="2469" spans="8:8" ht="15">
      <c r="H2469" s="4"/>
    </row>
    <row r="2470" spans="8:8" ht="15">
      <c r="H2470" s="4"/>
    </row>
    <row r="2471" spans="8:8" ht="15">
      <c r="H2471" s="4"/>
    </row>
    <row r="2472" spans="8:8" ht="15">
      <c r="H2472" s="4"/>
    </row>
    <row r="2473" spans="8:8" ht="15">
      <c r="H2473" s="4"/>
    </row>
    <row r="2474" spans="8:8" ht="15">
      <c r="H2474" s="4"/>
    </row>
    <row r="2475" spans="8:8" ht="15">
      <c r="H2475" s="4"/>
    </row>
    <row r="2476" spans="8:8" ht="15">
      <c r="H2476" s="4"/>
    </row>
    <row r="2477" spans="8:8" ht="15">
      <c r="H2477" s="4"/>
    </row>
    <row r="2478" spans="8:8" ht="15">
      <c r="H2478" s="4"/>
    </row>
    <row r="2479" spans="8:8" ht="15">
      <c r="H2479" s="4"/>
    </row>
    <row r="2480" spans="8:8" ht="15">
      <c r="H2480" s="4"/>
    </row>
    <row r="2481" spans="8:8" ht="15">
      <c r="H2481" s="4"/>
    </row>
    <row r="2482" spans="8:8" ht="15">
      <c r="H2482" s="4"/>
    </row>
    <row r="2483" spans="8:8" ht="15">
      <c r="H2483" s="4"/>
    </row>
    <row r="2484" spans="8:8" ht="15">
      <c r="H2484" s="4"/>
    </row>
    <row r="2485" spans="8:8" ht="15">
      <c r="H2485" s="4"/>
    </row>
    <row r="2486" spans="8:8" ht="15">
      <c r="H2486" s="4"/>
    </row>
    <row r="2487" spans="8:8" ht="15">
      <c r="H2487" s="4"/>
    </row>
    <row r="2488" spans="8:8" ht="15">
      <c r="H2488" s="4"/>
    </row>
    <row r="2489" spans="8:8" ht="15">
      <c r="H2489" s="4"/>
    </row>
    <row r="2490" spans="8:8" ht="15">
      <c r="H2490" s="4"/>
    </row>
    <row r="2491" spans="8:8" ht="15">
      <c r="H2491" s="4"/>
    </row>
    <row r="2492" spans="8:8" ht="15">
      <c r="H2492" s="4"/>
    </row>
    <row r="2493" spans="8:8" ht="15">
      <c r="H2493" s="4"/>
    </row>
    <row r="2494" spans="8:8" ht="15">
      <c r="H2494" s="4"/>
    </row>
    <row r="2495" spans="8:8" ht="15">
      <c r="H2495" s="4"/>
    </row>
    <row r="2496" spans="8:8" ht="15">
      <c r="H2496" s="4"/>
    </row>
    <row r="2497" spans="8:8" ht="15">
      <c r="H2497" s="4"/>
    </row>
    <row r="2498" spans="8:8" ht="15">
      <c r="H2498" s="4"/>
    </row>
    <row r="2499" spans="8:8" ht="15">
      <c r="H2499" s="4"/>
    </row>
    <row r="2500" spans="8:8" ht="15">
      <c r="H2500" s="4"/>
    </row>
    <row r="2501" spans="8:8" ht="15">
      <c r="H2501" s="4"/>
    </row>
    <row r="2502" spans="8:8" ht="15">
      <c r="H2502" s="4"/>
    </row>
    <row r="2503" spans="8:8" ht="15">
      <c r="H2503" s="4"/>
    </row>
    <row r="2504" spans="8:8" ht="15">
      <c r="H2504" s="4"/>
    </row>
    <row r="2505" spans="8:8" ht="15">
      <c r="H2505" s="4"/>
    </row>
    <row r="2506" spans="8:8" ht="15">
      <c r="H2506" s="4"/>
    </row>
    <row r="2507" spans="8:8" ht="15">
      <c r="H2507" s="4"/>
    </row>
    <row r="2508" spans="8:8" ht="15">
      <c r="H2508" s="4"/>
    </row>
    <row r="2509" spans="8:8" ht="15">
      <c r="H2509" s="4"/>
    </row>
    <row r="2510" spans="8:8" ht="15">
      <c r="H2510" s="4"/>
    </row>
    <row r="2511" spans="8:8" ht="15">
      <c r="H2511" s="4"/>
    </row>
    <row r="2512" spans="8:8" ht="15">
      <c r="H2512" s="4"/>
    </row>
    <row r="2513" spans="8:8" ht="15">
      <c r="H2513" s="4"/>
    </row>
    <row r="2514" spans="8:8" ht="15">
      <c r="H2514" s="4"/>
    </row>
    <row r="2515" spans="8:8" ht="15">
      <c r="H2515" s="4"/>
    </row>
    <row r="2516" spans="8:8" ht="15">
      <c r="H2516" s="4"/>
    </row>
    <row r="2517" spans="8:8" ht="15">
      <c r="H2517" s="4"/>
    </row>
    <row r="2518" spans="8:8" ht="15">
      <c r="H2518" s="4"/>
    </row>
    <row r="2519" spans="8:8" ht="15">
      <c r="H2519" s="4"/>
    </row>
    <row r="2520" spans="8:8" ht="15">
      <c r="H2520" s="4"/>
    </row>
    <row r="2521" spans="8:8" ht="15">
      <c r="H2521" s="4"/>
    </row>
    <row r="2522" spans="8:8" ht="15">
      <c r="H2522" s="4"/>
    </row>
    <row r="2523" spans="8:8" ht="15">
      <c r="H2523" s="4"/>
    </row>
    <row r="2524" spans="8:8" ht="15">
      <c r="H2524" s="4"/>
    </row>
    <row r="2525" spans="8:8" ht="15">
      <c r="H2525" s="4"/>
    </row>
    <row r="2526" spans="8:8" ht="15">
      <c r="H2526" s="4"/>
    </row>
    <row r="2527" spans="8:8" ht="15">
      <c r="H2527" s="4"/>
    </row>
    <row r="2528" spans="8:8" ht="15">
      <c r="H2528" s="4"/>
    </row>
    <row r="2529" spans="8:8" ht="15">
      <c r="H2529" s="4"/>
    </row>
    <row r="2530" spans="8:8" ht="15">
      <c r="H2530" s="4"/>
    </row>
    <row r="2531" spans="8:8" ht="15">
      <c r="H2531" s="4"/>
    </row>
    <row r="2532" spans="8:8" ht="15">
      <c r="H2532" s="4"/>
    </row>
    <row r="2533" spans="8:8" ht="15">
      <c r="H2533" s="4"/>
    </row>
    <row r="2534" spans="8:8" ht="15">
      <c r="H2534" s="4"/>
    </row>
    <row r="2535" spans="8:8" ht="15">
      <c r="H2535" s="4"/>
    </row>
    <row r="2536" spans="8:8" ht="15">
      <c r="H2536" s="4"/>
    </row>
    <row r="2537" spans="8:8" ht="15">
      <c r="H2537" s="4"/>
    </row>
    <row r="2538" spans="8:8" ht="15">
      <c r="H2538" s="4"/>
    </row>
    <row r="2539" spans="8:8" ht="15">
      <c r="H2539" s="4"/>
    </row>
    <row r="2540" spans="8:8" ht="15">
      <c r="H2540" s="4"/>
    </row>
    <row r="2541" spans="8:8" ht="15">
      <c r="H2541" s="4"/>
    </row>
    <row r="2542" spans="8:8" ht="15">
      <c r="H2542" s="4"/>
    </row>
    <row r="2543" spans="8:8" ht="15">
      <c r="H2543" s="4"/>
    </row>
    <row r="2544" spans="8:8" ht="15">
      <c r="H2544" s="4"/>
    </row>
    <row r="2545" spans="8:8" ht="15">
      <c r="H2545" s="4"/>
    </row>
    <row r="2546" spans="8:8" ht="15">
      <c r="H2546" s="4"/>
    </row>
    <row r="2547" spans="8:8" ht="15">
      <c r="H2547" s="4"/>
    </row>
    <row r="2548" spans="8:8" ht="15">
      <c r="H2548" s="4"/>
    </row>
    <row r="2549" spans="8:8" ht="15">
      <c r="H2549" s="4"/>
    </row>
    <row r="2550" spans="8:8" ht="15">
      <c r="H2550" s="4"/>
    </row>
    <row r="2551" spans="8:8" ht="15">
      <c r="H2551" s="4"/>
    </row>
    <row r="2552" spans="8:8" ht="15">
      <c r="H2552" s="4"/>
    </row>
    <row r="2553" spans="8:8" ht="15">
      <c r="H2553" s="4"/>
    </row>
    <row r="2554" spans="8:8" ht="15">
      <c r="H2554" s="4"/>
    </row>
    <row r="2555" spans="8:8" ht="15">
      <c r="H2555" s="4"/>
    </row>
    <row r="2556" spans="8:8" ht="15">
      <c r="H2556" s="4"/>
    </row>
    <row r="2557" spans="8:8" ht="15">
      <c r="H2557" s="4"/>
    </row>
    <row r="2558" spans="8:8" ht="15">
      <c r="H2558" s="4"/>
    </row>
    <row r="2559" spans="8:8" ht="15">
      <c r="H2559" s="4"/>
    </row>
    <row r="2560" spans="8:8" ht="15">
      <c r="H2560" s="4"/>
    </row>
    <row r="2561" spans="8:8" ht="15">
      <c r="H2561" s="4"/>
    </row>
    <row r="2562" spans="8:8" ht="15">
      <c r="H2562" s="4"/>
    </row>
    <row r="2563" spans="8:8" ht="15">
      <c r="H2563" s="4"/>
    </row>
    <row r="2564" spans="8:8" ht="15">
      <c r="H2564" s="4"/>
    </row>
    <row r="2565" spans="8:8" ht="15">
      <c r="H2565" s="4"/>
    </row>
    <row r="2566" spans="8:8" ht="15">
      <c r="H2566" s="4"/>
    </row>
    <row r="2567" spans="8:8" ht="15">
      <c r="H2567" s="4"/>
    </row>
    <row r="2568" spans="8:8" ht="15">
      <c r="H2568" s="4"/>
    </row>
    <row r="2569" spans="8:8" ht="15">
      <c r="H2569" s="4"/>
    </row>
    <row r="2570" spans="8:8" ht="15">
      <c r="H2570" s="4"/>
    </row>
    <row r="2571" spans="8:8" ht="15">
      <c r="H2571" s="4"/>
    </row>
    <row r="2572" spans="8:8" ht="15">
      <c r="H2572" s="4"/>
    </row>
    <row r="2573" spans="8:8" ht="15">
      <c r="H2573" s="4"/>
    </row>
    <row r="2574" spans="8:8" ht="15">
      <c r="H2574" s="4"/>
    </row>
    <row r="2575" spans="8:8" ht="15">
      <c r="H2575" s="4"/>
    </row>
    <row r="2576" spans="8:8" ht="15">
      <c r="H2576" s="4"/>
    </row>
    <row r="2577" spans="8:8" ht="15">
      <c r="H2577" s="4"/>
    </row>
    <row r="2578" spans="8:8" ht="15">
      <c r="H2578" s="4"/>
    </row>
    <row r="2579" spans="8:8" ht="15">
      <c r="H2579" s="4"/>
    </row>
    <row r="2580" spans="8:8" ht="15">
      <c r="H2580" s="4"/>
    </row>
    <row r="2581" spans="8:8" ht="15">
      <c r="H2581" s="4"/>
    </row>
    <row r="2582" spans="8:8" ht="15">
      <c r="H2582" s="4"/>
    </row>
    <row r="2583" spans="8:8" ht="15">
      <c r="H2583" s="4"/>
    </row>
    <row r="2584" spans="8:8" ht="15">
      <c r="H2584" s="4"/>
    </row>
    <row r="2585" spans="8:8" ht="15">
      <c r="H2585" s="4"/>
    </row>
    <row r="2586" spans="8:8" ht="15">
      <c r="H2586" s="4"/>
    </row>
    <row r="2587" spans="8:8" ht="15">
      <c r="H2587" s="4"/>
    </row>
    <row r="2588" spans="8:8" ht="15">
      <c r="H2588" s="4"/>
    </row>
    <row r="2589" spans="8:8" ht="15">
      <c r="H2589" s="4"/>
    </row>
    <row r="2590" spans="8:8" ht="15">
      <c r="H2590" s="4"/>
    </row>
    <row r="2591" spans="8:8" ht="15">
      <c r="H2591" s="4"/>
    </row>
    <row r="2592" spans="8:8" ht="15">
      <c r="H2592" s="4"/>
    </row>
    <row r="2593" spans="8:8" ht="15">
      <c r="H2593" s="4"/>
    </row>
    <row r="2594" spans="8:8" ht="15">
      <c r="H2594" s="4"/>
    </row>
    <row r="2595" spans="8:8" ht="15">
      <c r="H2595" s="4"/>
    </row>
    <row r="2596" spans="8:8" ht="15">
      <c r="H2596" s="4"/>
    </row>
    <row r="2597" spans="8:8" ht="15">
      <c r="H2597" s="4"/>
    </row>
    <row r="2598" spans="8:8" ht="15">
      <c r="H2598" s="4"/>
    </row>
    <row r="2599" spans="8:8" ht="15">
      <c r="H2599" s="4"/>
    </row>
    <row r="2600" spans="8:8" ht="15">
      <c r="H2600" s="4"/>
    </row>
    <row r="2601" spans="8:8" ht="15">
      <c r="H2601" s="4"/>
    </row>
    <row r="2602" spans="8:8" ht="15">
      <c r="H2602" s="4"/>
    </row>
    <row r="2603" spans="8:8" ht="15">
      <c r="H2603" s="4"/>
    </row>
    <row r="2604" spans="8:8" ht="15">
      <c r="H2604" s="4"/>
    </row>
    <row r="2605" spans="8:8" ht="15">
      <c r="H2605" s="4"/>
    </row>
    <row r="2606" spans="8:8" ht="15">
      <c r="H2606" s="4"/>
    </row>
    <row r="2607" spans="8:8" ht="15">
      <c r="H2607" s="4"/>
    </row>
    <row r="2608" spans="8:8" ht="15">
      <c r="H2608" s="4"/>
    </row>
    <row r="2609" spans="8:8" ht="15">
      <c r="H2609" s="4"/>
    </row>
    <row r="2610" spans="8:8" ht="15">
      <c r="H2610" s="4"/>
    </row>
    <row r="2611" spans="8:8" ht="15">
      <c r="H2611" s="4"/>
    </row>
    <row r="2612" spans="8:8" ht="15">
      <c r="H2612" s="4"/>
    </row>
    <row r="2613" spans="8:8" ht="15">
      <c r="H2613" s="4"/>
    </row>
    <row r="2614" spans="8:8" ht="15">
      <c r="H2614" s="4"/>
    </row>
    <row r="2615" spans="8:8" ht="15">
      <c r="H2615" s="4"/>
    </row>
    <row r="2616" spans="8:8" ht="15">
      <c r="H2616" s="4"/>
    </row>
    <row r="2617" spans="8:8" ht="15">
      <c r="H2617" s="4"/>
    </row>
    <row r="2618" spans="8:8" ht="15">
      <c r="H2618" s="4"/>
    </row>
    <row r="2619" spans="8:8" ht="15">
      <c r="H2619" s="4"/>
    </row>
    <row r="2620" spans="8:8" ht="15">
      <c r="H2620" s="4"/>
    </row>
    <row r="2621" spans="8:8" ht="15">
      <c r="H2621" s="4"/>
    </row>
    <row r="2622" spans="8:8" ht="15">
      <c r="H2622" s="4"/>
    </row>
    <row r="2623" spans="8:8" ht="15">
      <c r="H2623" s="4"/>
    </row>
    <row r="2624" spans="8:8" ht="15">
      <c r="H2624" s="4"/>
    </row>
    <row r="2625" spans="8:8" ht="15">
      <c r="H2625" s="4"/>
    </row>
    <row r="2626" spans="8:8" ht="15">
      <c r="H2626" s="4"/>
    </row>
    <row r="2627" spans="8:8" ht="15">
      <c r="H2627" s="4"/>
    </row>
    <row r="2628" spans="8:8" ht="15">
      <c r="H2628" s="4"/>
    </row>
    <row r="2629" spans="8:8" ht="15">
      <c r="H2629" s="4"/>
    </row>
    <row r="2630" spans="8:8" ht="15">
      <c r="H2630" s="4"/>
    </row>
    <row r="2631" spans="8:8" ht="15">
      <c r="H2631" s="4"/>
    </row>
    <row r="2632" spans="8:8" ht="15">
      <c r="H2632" s="4"/>
    </row>
    <row r="2633" spans="8:8" ht="15">
      <c r="H2633" s="4"/>
    </row>
    <row r="2634" spans="8:8" ht="15">
      <c r="H2634" s="4"/>
    </row>
    <row r="2635" spans="8:8" ht="15">
      <c r="H2635" s="4"/>
    </row>
    <row r="2636" spans="8:8" ht="15">
      <c r="H2636" s="4"/>
    </row>
    <row r="2637" spans="8:8" ht="15">
      <c r="H2637" s="4"/>
    </row>
    <row r="2638" spans="8:8" ht="15">
      <c r="H2638" s="4"/>
    </row>
    <row r="2639" spans="8:8" ht="15">
      <c r="H2639" s="4"/>
    </row>
    <row r="2640" spans="8:8" ht="15">
      <c r="H2640" s="4"/>
    </row>
    <row r="2641" spans="8:8" ht="15">
      <c r="H2641" s="4"/>
    </row>
    <row r="2642" spans="8:8" ht="15">
      <c r="H2642" s="4"/>
    </row>
    <row r="2643" spans="8:8" ht="15">
      <c r="H2643" s="4"/>
    </row>
    <row r="2644" spans="8:8" ht="15">
      <c r="H2644" s="4"/>
    </row>
    <row r="2645" spans="8:8" ht="15">
      <c r="H2645" s="4"/>
    </row>
    <row r="2646" spans="8:8" ht="15">
      <c r="H2646" s="4"/>
    </row>
    <row r="2647" spans="8:8" ht="15">
      <c r="H2647" s="4"/>
    </row>
    <row r="2648" spans="8:8" ht="15">
      <c r="H2648" s="4"/>
    </row>
    <row r="2649" spans="8:8" ht="15">
      <c r="H2649" s="4"/>
    </row>
    <row r="2650" spans="8:8" ht="15">
      <c r="H2650" s="4"/>
    </row>
    <row r="2651" spans="8:8" ht="15">
      <c r="H2651" s="4"/>
    </row>
    <row r="2652" spans="8:8" ht="15">
      <c r="H2652" s="4"/>
    </row>
    <row r="2653" spans="8:8" ht="15">
      <c r="H2653" s="4"/>
    </row>
    <row r="2654" spans="8:8" ht="15">
      <c r="H2654" s="4"/>
    </row>
    <row r="2655" spans="8:8" ht="15">
      <c r="H2655" s="4"/>
    </row>
    <row r="2656" spans="8:8" ht="15">
      <c r="H2656" s="4"/>
    </row>
    <row r="2657" spans="8:8" ht="15">
      <c r="H2657" s="4"/>
    </row>
    <row r="2658" spans="8:8" ht="15">
      <c r="H2658" s="4"/>
    </row>
    <row r="2659" spans="8:8" ht="15">
      <c r="H2659" s="4"/>
    </row>
    <row r="2660" spans="8:8" ht="15">
      <c r="H2660" s="4"/>
    </row>
    <row r="2661" spans="8:8" ht="15">
      <c r="H2661" s="4"/>
    </row>
    <row r="2662" spans="8:8" ht="15">
      <c r="H2662" s="4"/>
    </row>
    <row r="2663" spans="8:8" ht="15">
      <c r="H2663" s="4"/>
    </row>
    <row r="2664" spans="8:8" ht="15">
      <c r="H2664" s="4"/>
    </row>
    <row r="2665" spans="8:8" ht="15">
      <c r="H2665" s="4"/>
    </row>
    <row r="2666" spans="8:8" ht="15">
      <c r="H2666" s="4"/>
    </row>
    <row r="2667" spans="8:8" ht="15">
      <c r="H2667" s="4"/>
    </row>
    <row r="2668" spans="8:8" ht="15">
      <c r="H2668" s="4"/>
    </row>
    <row r="2669" spans="8:8" ht="15">
      <c r="H2669" s="4"/>
    </row>
    <row r="2670" spans="8:8" ht="15">
      <c r="H2670" s="4"/>
    </row>
    <row r="2671" spans="8:8" ht="15">
      <c r="H2671" s="4"/>
    </row>
    <row r="2672" spans="8:8" ht="15">
      <c r="H2672" s="4"/>
    </row>
    <row r="2673" spans="8:8" ht="15">
      <c r="H2673" s="4"/>
    </row>
    <row r="2674" spans="8:8" ht="15">
      <c r="H2674" s="4"/>
    </row>
    <row r="2675" spans="8:8" ht="15">
      <c r="H2675" s="4"/>
    </row>
    <row r="2676" spans="8:8" ht="15">
      <c r="H2676" s="4"/>
    </row>
    <row r="2677" spans="8:8" ht="15">
      <c r="H2677" s="4"/>
    </row>
    <row r="2678" spans="8:8" ht="15">
      <c r="H2678" s="4"/>
    </row>
    <row r="2679" spans="8:8" ht="15">
      <c r="H2679" s="4"/>
    </row>
    <row r="2680" spans="8:8" ht="15">
      <c r="H2680" s="4"/>
    </row>
    <row r="2681" spans="8:8" ht="15">
      <c r="H2681" s="4"/>
    </row>
    <row r="2682" spans="8:8" ht="15">
      <c r="H2682" s="4"/>
    </row>
    <row r="2683" spans="8:8" ht="15">
      <c r="H2683" s="4"/>
    </row>
    <row r="2684" spans="8:8" ht="15">
      <c r="H2684" s="4"/>
    </row>
    <row r="2685" spans="8:8" ht="15">
      <c r="H2685" s="4"/>
    </row>
    <row r="2686" spans="8:8" ht="15">
      <c r="H2686" s="4"/>
    </row>
    <row r="2687" spans="8:8" ht="15">
      <c r="H2687" s="4"/>
    </row>
    <row r="2688" spans="8:8" ht="15">
      <c r="H2688" s="4"/>
    </row>
    <row r="2689" spans="8:8" ht="15">
      <c r="H2689" s="4"/>
    </row>
    <row r="2690" spans="8:8" ht="15">
      <c r="H2690" s="4"/>
    </row>
    <row r="2691" spans="8:8" ht="15">
      <c r="H2691" s="4"/>
    </row>
    <row r="2692" spans="8:8" ht="15">
      <c r="H2692" s="4"/>
    </row>
    <row r="2693" spans="8:8" ht="15">
      <c r="H2693" s="4"/>
    </row>
    <row r="2694" spans="8:8" ht="15">
      <c r="H2694" s="4"/>
    </row>
    <row r="2695" spans="8:8" ht="15">
      <c r="H2695" s="4"/>
    </row>
    <row r="2696" spans="8:8" ht="15">
      <c r="H2696" s="4"/>
    </row>
    <row r="2697" spans="8:8" ht="15">
      <c r="H2697" s="4"/>
    </row>
    <row r="2698" spans="8:8" ht="15">
      <c r="H2698" s="4"/>
    </row>
    <row r="2699" spans="8:8" ht="15">
      <c r="H2699" s="4"/>
    </row>
    <row r="2700" spans="8:8" ht="15">
      <c r="H2700" s="4"/>
    </row>
    <row r="2701" spans="8:8" ht="15">
      <c r="H2701" s="4"/>
    </row>
    <row r="2702" spans="8:8" ht="15">
      <c r="H2702" s="4"/>
    </row>
    <row r="2703" spans="8:8" ht="15">
      <c r="H2703" s="4"/>
    </row>
    <row r="2704" spans="8:8" ht="15">
      <c r="H2704" s="4"/>
    </row>
    <row r="2705" spans="8:8" ht="15">
      <c r="H2705" s="4"/>
    </row>
    <row r="2706" spans="8:8" ht="15">
      <c r="H2706" s="4"/>
    </row>
    <row r="2707" spans="8:8" ht="15">
      <c r="H2707" s="4"/>
    </row>
    <row r="2708" spans="8:8" ht="15">
      <c r="H2708" s="4"/>
    </row>
    <row r="2709" spans="8:8" ht="15">
      <c r="H2709" s="4"/>
    </row>
    <row r="2710" spans="8:8" ht="15">
      <c r="H2710" s="4"/>
    </row>
    <row r="2711" spans="8:8" ht="15">
      <c r="H2711" s="4"/>
    </row>
    <row r="2712" spans="8:8" ht="15">
      <c r="H2712" s="4"/>
    </row>
    <row r="2713" spans="8:8" ht="15">
      <c r="H2713" s="4"/>
    </row>
    <row r="2714" spans="8:8" ht="15">
      <c r="H2714" s="4"/>
    </row>
    <row r="2715" spans="8:8" ht="15">
      <c r="H2715" s="4"/>
    </row>
    <row r="2716" spans="8:8" ht="15">
      <c r="H2716" s="4"/>
    </row>
    <row r="2717" spans="8:8" ht="15">
      <c r="H2717" s="4"/>
    </row>
    <row r="2718" spans="8:8" ht="15">
      <c r="H2718" s="4"/>
    </row>
    <row r="2719" spans="8:8" ht="15">
      <c r="H2719" s="4"/>
    </row>
    <row r="2720" spans="8:8" ht="15">
      <c r="H2720" s="4"/>
    </row>
    <row r="2721" spans="8:8" ht="15">
      <c r="H2721" s="4"/>
    </row>
    <row r="2722" spans="8:8" ht="15">
      <c r="H2722" s="4"/>
    </row>
    <row r="2723" spans="8:8" ht="15">
      <c r="H2723" s="4"/>
    </row>
    <row r="2724" spans="8:8" ht="15">
      <c r="H2724" s="4"/>
    </row>
    <row r="2725" spans="8:8" ht="15">
      <c r="H2725" s="4"/>
    </row>
    <row r="2726" spans="8:8" ht="15">
      <c r="H2726" s="4"/>
    </row>
    <row r="2727" spans="8:8" ht="15">
      <c r="H2727" s="4"/>
    </row>
    <row r="2728" spans="8:8" ht="15">
      <c r="H2728" s="4"/>
    </row>
    <row r="2729" spans="8:8" ht="15">
      <c r="H2729" s="4"/>
    </row>
    <row r="2730" spans="8:8" ht="15">
      <c r="H2730" s="4"/>
    </row>
    <row r="2731" spans="8:8" ht="15">
      <c r="H2731" s="4"/>
    </row>
    <row r="2732" spans="8:8" ht="15">
      <c r="H2732" s="4"/>
    </row>
    <row r="2733" spans="8:8" ht="15">
      <c r="H2733" s="4"/>
    </row>
    <row r="2734" spans="8:8" ht="15">
      <c r="H2734" s="4"/>
    </row>
    <row r="2735" spans="8:8" ht="15">
      <c r="H2735" s="4"/>
    </row>
    <row r="2736" spans="8:8" ht="15">
      <c r="H2736" s="4"/>
    </row>
    <row r="2737" spans="8:8" ht="15">
      <c r="H2737" s="4"/>
    </row>
    <row r="2738" spans="8:8" ht="15">
      <c r="H2738" s="4"/>
    </row>
    <row r="2739" spans="8:8" ht="15">
      <c r="H2739" s="4"/>
    </row>
    <row r="2740" spans="8:8" ht="15">
      <c r="H2740" s="4"/>
    </row>
    <row r="2741" spans="8:8" ht="15">
      <c r="H2741" s="4"/>
    </row>
    <row r="2742" spans="8:8" ht="15">
      <c r="H2742" s="4"/>
    </row>
    <row r="2743" spans="8:8" ht="15">
      <c r="H2743" s="4"/>
    </row>
    <row r="2744" spans="8:8" ht="15">
      <c r="H2744" s="4"/>
    </row>
    <row r="2745" spans="8:8" ht="15">
      <c r="H2745" s="4"/>
    </row>
    <row r="2746" spans="8:8" ht="15">
      <c r="H2746" s="4"/>
    </row>
    <row r="2747" spans="8:8" ht="15">
      <c r="H2747" s="4"/>
    </row>
    <row r="2748" spans="8:8" ht="15">
      <c r="H2748" s="4"/>
    </row>
    <row r="2749" spans="8:8" ht="15">
      <c r="H2749" s="4"/>
    </row>
    <row r="2750" spans="8:8" ht="15">
      <c r="H2750" s="4"/>
    </row>
    <row r="2751" spans="8:8" ht="15">
      <c r="H2751" s="4"/>
    </row>
    <row r="2752" spans="8:8" ht="15">
      <c r="H2752" s="4"/>
    </row>
    <row r="2753" spans="8:8" ht="15">
      <c r="H2753" s="4"/>
    </row>
    <row r="2754" spans="8:8" ht="15">
      <c r="H2754" s="4"/>
    </row>
    <row r="2755" spans="8:8" ht="15">
      <c r="H2755" s="4"/>
    </row>
    <row r="2756" spans="8:8" ht="15">
      <c r="H2756" s="4"/>
    </row>
    <row r="2757" spans="8:8" ht="15">
      <c r="H2757" s="4"/>
    </row>
    <row r="2758" spans="8:8" ht="15">
      <c r="H2758" s="4"/>
    </row>
    <row r="2759" spans="8:8" ht="15">
      <c r="H2759" s="4"/>
    </row>
    <row r="2760" spans="8:8" ht="15">
      <c r="H2760" s="4"/>
    </row>
    <row r="2761" spans="8:8" ht="15">
      <c r="H2761" s="4"/>
    </row>
    <row r="2762" spans="8:8" ht="15">
      <c r="H2762" s="4"/>
    </row>
    <row r="2763" spans="8:8" ht="15">
      <c r="H2763" s="4"/>
    </row>
    <row r="2764" spans="8:8" ht="15">
      <c r="H2764" s="4"/>
    </row>
    <row r="2765" spans="8:8" ht="15">
      <c r="H2765" s="4"/>
    </row>
    <row r="2766" spans="8:8" ht="15">
      <c r="H2766" s="4"/>
    </row>
    <row r="2767" spans="8:8" ht="15">
      <c r="H2767" s="4"/>
    </row>
    <row r="2768" spans="8:8" ht="15">
      <c r="H2768" s="4"/>
    </row>
    <row r="2769" spans="8:8" ht="15">
      <c r="H2769" s="4"/>
    </row>
    <row r="2770" spans="8:8" ht="15">
      <c r="H2770" s="4"/>
    </row>
    <row r="2771" spans="8:8" ht="15">
      <c r="H2771" s="4"/>
    </row>
    <row r="2772" spans="8:8" ht="15">
      <c r="H2772" s="4"/>
    </row>
    <row r="2773" spans="8:8" ht="15">
      <c r="H2773" s="4"/>
    </row>
    <row r="2774" spans="8:8" ht="15">
      <c r="H2774" s="4"/>
    </row>
    <row r="2775" spans="8:8" ht="15">
      <c r="H2775" s="4"/>
    </row>
    <row r="2776" spans="8:8" ht="15">
      <c r="H2776" s="4"/>
    </row>
    <row r="2777" spans="8:8" ht="15">
      <c r="H2777" s="4"/>
    </row>
    <row r="2778" spans="8:8" ht="15">
      <c r="H2778" s="4"/>
    </row>
    <row r="2779" spans="8:8" ht="15">
      <c r="H2779" s="4"/>
    </row>
    <row r="2780" spans="8:8" ht="15">
      <c r="H2780" s="4"/>
    </row>
    <row r="2781" spans="8:8" ht="15">
      <c r="H2781" s="4"/>
    </row>
    <row r="2782" spans="8:8" ht="15">
      <c r="H2782" s="4"/>
    </row>
    <row r="2783" spans="8:8" ht="15">
      <c r="H2783" s="4"/>
    </row>
    <row r="2784" spans="8:8" ht="15">
      <c r="H2784" s="4"/>
    </row>
    <row r="2785" spans="8:8" ht="15">
      <c r="H2785" s="4"/>
    </row>
    <row r="2786" spans="8:8" ht="15">
      <c r="H2786" s="4"/>
    </row>
    <row r="2787" spans="8:8" ht="15">
      <c r="H2787" s="4"/>
    </row>
    <row r="2788" spans="8:8" ht="15">
      <c r="H2788" s="4"/>
    </row>
    <row r="2789" spans="8:8" ht="15">
      <c r="H2789" s="4"/>
    </row>
    <row r="2790" spans="8:8" ht="15">
      <c r="H2790" s="4"/>
    </row>
    <row r="2791" spans="8:8" ht="15">
      <c r="H2791" s="4"/>
    </row>
    <row r="2792" spans="8:8" ht="15">
      <c r="H2792" s="4"/>
    </row>
    <row r="2793" spans="8:8" ht="15">
      <c r="H2793" s="4"/>
    </row>
    <row r="2794" spans="8:8" ht="15">
      <c r="H2794" s="4"/>
    </row>
    <row r="2795" spans="8:8" ht="15">
      <c r="H2795" s="4"/>
    </row>
    <row r="2796" spans="8:8" ht="15">
      <c r="H2796" s="4"/>
    </row>
    <row r="2797" spans="8:8" ht="15">
      <c r="H2797" s="4"/>
    </row>
    <row r="2798" spans="8:8" ht="15">
      <c r="H2798" s="4"/>
    </row>
    <row r="2799" spans="8:8" ht="15">
      <c r="H2799" s="4"/>
    </row>
    <row r="2800" spans="8:8" ht="15">
      <c r="H2800" s="4"/>
    </row>
    <row r="2801" spans="8:8" ht="15">
      <c r="H2801" s="4"/>
    </row>
    <row r="2802" spans="8:8" ht="15">
      <c r="H2802" s="4"/>
    </row>
    <row r="2803" spans="8:8" ht="15">
      <c r="H2803" s="4"/>
    </row>
    <row r="2804" spans="8:8" ht="15">
      <c r="H2804" s="4"/>
    </row>
    <row r="2805" spans="8:8" ht="15">
      <c r="H2805" s="4"/>
    </row>
    <row r="2806" spans="8:8" ht="15">
      <c r="H2806" s="4"/>
    </row>
    <row r="2807" spans="8:8" ht="15">
      <c r="H2807" s="4"/>
    </row>
    <row r="2808" spans="8:8" ht="15">
      <c r="H2808" s="4"/>
    </row>
    <row r="2809" spans="8:8" ht="15">
      <c r="H2809" s="4"/>
    </row>
    <row r="2810" spans="8:8" ht="15">
      <c r="H2810" s="4"/>
    </row>
    <row r="2811" spans="8:8" ht="15">
      <c r="H2811" s="4"/>
    </row>
    <row r="2812" spans="8:8" ht="15">
      <c r="H2812" s="4"/>
    </row>
    <row r="2813" spans="8:8" ht="15">
      <c r="H2813" s="4"/>
    </row>
    <row r="2814" spans="8:8" ht="15">
      <c r="H2814" s="4"/>
    </row>
    <row r="2815" spans="8:8" ht="15">
      <c r="H2815" s="4"/>
    </row>
    <row r="2816" spans="8:8" ht="15">
      <c r="H2816" s="4"/>
    </row>
    <row r="2817" spans="8:8" ht="15">
      <c r="H2817" s="4"/>
    </row>
    <row r="2818" spans="8:8" ht="15">
      <c r="H2818" s="4"/>
    </row>
    <row r="2819" spans="8:8" ht="15">
      <c r="H2819" s="4"/>
    </row>
    <row r="2820" spans="8:8" ht="15">
      <c r="H2820" s="4"/>
    </row>
    <row r="2821" spans="8:8" ht="15">
      <c r="H2821" s="4"/>
    </row>
    <row r="2822" spans="8:8" ht="15">
      <c r="H2822" s="4"/>
    </row>
    <row r="2823" spans="8:8" ht="15">
      <c r="H2823" s="4"/>
    </row>
    <row r="2824" spans="8:8" ht="15">
      <c r="H2824" s="4"/>
    </row>
    <row r="2825" spans="8:8" ht="15">
      <c r="H2825" s="4"/>
    </row>
    <row r="2826" spans="8:8" ht="15">
      <c r="H2826" s="4"/>
    </row>
    <row r="2827" spans="8:8" ht="15">
      <c r="H2827" s="4"/>
    </row>
    <row r="2828" spans="8:8" ht="15">
      <c r="H2828" s="4"/>
    </row>
    <row r="2829" spans="8:8" ht="15">
      <c r="H2829" s="4"/>
    </row>
    <row r="2830" spans="8:8" ht="15">
      <c r="H2830" s="4"/>
    </row>
    <row r="2831" spans="8:8" ht="15">
      <c r="H2831" s="4"/>
    </row>
    <row r="2832" spans="8:8" ht="15">
      <c r="H2832" s="4"/>
    </row>
    <row r="2833" spans="8:8" ht="15">
      <c r="H2833" s="4"/>
    </row>
    <row r="2834" spans="8:8" ht="15">
      <c r="H2834" s="4"/>
    </row>
    <row r="2835" spans="8:8" ht="15">
      <c r="H2835" s="4"/>
    </row>
    <row r="2836" spans="8:8" ht="15">
      <c r="H2836" s="4"/>
    </row>
    <row r="2837" spans="8:8" ht="15">
      <c r="H2837" s="4"/>
    </row>
    <row r="2838" spans="8:8" ht="15">
      <c r="H2838" s="4"/>
    </row>
    <row r="2839" spans="8:8" ht="15">
      <c r="H2839" s="4"/>
    </row>
    <row r="2840" spans="8:8" ht="15">
      <c r="H2840" s="4"/>
    </row>
    <row r="2841" spans="8:8" ht="15">
      <c r="H2841" s="4"/>
    </row>
    <row r="2842" spans="8:8" ht="15">
      <c r="H2842" s="4"/>
    </row>
    <row r="2843" spans="8:8" ht="15">
      <c r="H2843" s="4"/>
    </row>
    <row r="2844" spans="8:8" ht="15">
      <c r="H2844" s="4"/>
    </row>
    <row r="2845" spans="8:8" ht="15">
      <c r="H2845" s="4"/>
    </row>
    <row r="2846" spans="8:8" ht="15">
      <c r="H2846" s="4"/>
    </row>
    <row r="2847" spans="8:8" ht="15">
      <c r="H2847" s="4"/>
    </row>
    <row r="2848" spans="8:8" ht="15">
      <c r="H2848" s="4"/>
    </row>
    <row r="2849" spans="8:8" ht="15">
      <c r="H2849" s="4"/>
    </row>
    <row r="2850" spans="8:8" ht="15">
      <c r="H2850" s="4"/>
    </row>
    <row r="2851" spans="8:8" ht="15">
      <c r="H2851" s="4"/>
    </row>
    <row r="2852" spans="8:8" ht="15">
      <c r="H2852" s="4"/>
    </row>
    <row r="2853" spans="8:8" ht="15">
      <c r="H2853" s="4"/>
    </row>
    <row r="2854" spans="8:8" ht="15">
      <c r="H2854" s="4"/>
    </row>
    <row r="2855" spans="8:8" ht="15">
      <c r="H2855" s="4"/>
    </row>
    <row r="2856" spans="8:8" ht="15">
      <c r="H2856" s="4"/>
    </row>
    <row r="2857" spans="8:8" ht="15">
      <c r="H2857" s="4"/>
    </row>
    <row r="2858" spans="8:8" ht="15">
      <c r="H2858" s="4"/>
    </row>
    <row r="2859" spans="8:8" ht="15">
      <c r="H2859" s="4"/>
    </row>
    <row r="2860" spans="8:8" ht="15">
      <c r="H2860" s="4"/>
    </row>
    <row r="2861" spans="8:8" ht="15">
      <c r="H2861" s="4"/>
    </row>
    <row r="2862" spans="8:8" ht="15">
      <c r="H2862" s="4"/>
    </row>
    <row r="2863" spans="8:8" ht="15">
      <c r="H2863" s="4"/>
    </row>
    <row r="2864" spans="8:8" ht="15">
      <c r="H2864" s="4"/>
    </row>
    <row r="2865" spans="8:8" ht="15">
      <c r="H2865" s="4"/>
    </row>
    <row r="2866" spans="8:8" ht="15">
      <c r="H2866" s="4"/>
    </row>
    <row r="2867" spans="8:8" ht="15">
      <c r="H2867" s="4"/>
    </row>
    <row r="2868" spans="8:8" ht="15">
      <c r="H2868" s="4"/>
    </row>
    <row r="2869" spans="8:8" ht="15">
      <c r="H2869" s="4"/>
    </row>
    <row r="2870" spans="8:8" ht="15">
      <c r="H2870" s="4"/>
    </row>
    <row r="2871" spans="8:8" ht="15">
      <c r="H2871" s="4"/>
    </row>
    <row r="2872" spans="8:8" ht="15">
      <c r="H2872" s="4"/>
    </row>
    <row r="2873" spans="8:8" ht="15">
      <c r="H2873" s="4"/>
    </row>
    <row r="2874" spans="8:8" ht="15">
      <c r="H2874" s="4"/>
    </row>
    <row r="2875" spans="8:8" ht="15">
      <c r="H2875" s="4"/>
    </row>
    <row r="2876" spans="8:8" ht="15">
      <c r="H2876" s="4"/>
    </row>
    <row r="2877" spans="8:8" ht="15">
      <c r="H2877" s="4"/>
    </row>
    <row r="2878" spans="8:8" ht="15">
      <c r="H2878" s="4"/>
    </row>
    <row r="2879" spans="8:8" ht="15">
      <c r="H2879" s="4"/>
    </row>
    <row r="2880" spans="8:8" ht="15">
      <c r="H2880" s="4"/>
    </row>
    <row r="2881" spans="8:8" ht="15">
      <c r="H2881" s="4"/>
    </row>
    <row r="2882" spans="8:8" ht="15">
      <c r="H2882" s="4"/>
    </row>
    <row r="2883" spans="8:8" ht="15">
      <c r="H2883" s="4"/>
    </row>
    <row r="2884" spans="8:8" ht="15">
      <c r="H2884" s="4"/>
    </row>
    <row r="2885" spans="8:8" ht="15">
      <c r="H2885" s="4"/>
    </row>
    <row r="2886" spans="8:8" ht="15">
      <c r="H2886" s="4"/>
    </row>
    <row r="2887" spans="8:8" ht="15">
      <c r="H2887" s="4"/>
    </row>
    <row r="2888" spans="8:8" ht="15">
      <c r="H2888" s="4"/>
    </row>
    <row r="2889" spans="8:8" ht="15">
      <c r="H2889" s="4"/>
    </row>
    <row r="2890" spans="8:8" ht="15">
      <c r="H2890" s="4"/>
    </row>
    <row r="2891" spans="8:8" ht="15">
      <c r="H2891" s="4"/>
    </row>
    <row r="2892" spans="8:8" ht="15">
      <c r="H2892" s="4"/>
    </row>
    <row r="2893" spans="8:8" ht="15">
      <c r="H2893" s="4"/>
    </row>
    <row r="2894" spans="8:8" ht="15">
      <c r="H2894" s="4"/>
    </row>
    <row r="2895" spans="8:8" ht="15">
      <c r="H2895" s="4"/>
    </row>
    <row r="2896" spans="8:8" ht="15">
      <c r="H2896" s="4"/>
    </row>
    <row r="2897" spans="8:8" ht="15">
      <c r="H2897" s="4"/>
    </row>
    <row r="2898" spans="8:8" ht="15">
      <c r="H2898" s="4"/>
    </row>
    <row r="2899" spans="8:8" ht="15">
      <c r="H2899" s="4"/>
    </row>
    <row r="2900" spans="8:8" ht="15">
      <c r="H2900" s="4"/>
    </row>
    <row r="2901" spans="8:8" ht="15">
      <c r="H2901" s="4"/>
    </row>
    <row r="2902" spans="8:8" ht="15">
      <c r="H2902" s="4"/>
    </row>
    <row r="2903" spans="8:8" ht="15">
      <c r="H2903" s="4"/>
    </row>
    <row r="2904" spans="8:8" ht="15">
      <c r="H2904" s="4"/>
    </row>
    <row r="2905" spans="8:8" ht="15">
      <c r="H2905" s="4"/>
    </row>
    <row r="2906" spans="8:8" ht="15">
      <c r="H2906" s="4"/>
    </row>
    <row r="2907" spans="8:8" ht="15">
      <c r="H2907" s="4"/>
    </row>
    <row r="2908" spans="8:8" ht="15">
      <c r="H2908" s="4"/>
    </row>
    <row r="2909" spans="8:8" ht="15">
      <c r="H2909" s="4"/>
    </row>
    <row r="2910" spans="8:8" ht="15">
      <c r="H2910" s="4"/>
    </row>
    <row r="2911" spans="8:8" ht="15">
      <c r="H2911" s="4"/>
    </row>
    <row r="2912" spans="8:8" ht="15">
      <c r="H2912" s="4"/>
    </row>
    <row r="2913" spans="8:8" ht="15">
      <c r="H2913" s="4"/>
    </row>
    <row r="2914" spans="8:8" ht="15">
      <c r="H2914" s="4"/>
    </row>
    <row r="2915" spans="8:8" ht="15">
      <c r="H2915" s="4"/>
    </row>
    <row r="2916" spans="8:8" ht="15">
      <c r="H2916" s="4"/>
    </row>
    <row r="2917" spans="8:8" ht="15">
      <c r="H2917" s="4"/>
    </row>
    <row r="2918" spans="8:8" ht="15">
      <c r="H2918" s="4"/>
    </row>
    <row r="2919" spans="8:8" ht="15">
      <c r="H2919" s="4"/>
    </row>
    <row r="2920" spans="8:8" ht="15">
      <c r="H2920" s="4"/>
    </row>
    <row r="2921" spans="8:8" ht="15">
      <c r="H2921" s="4"/>
    </row>
    <row r="2922" spans="8:8" ht="15">
      <c r="H2922" s="4"/>
    </row>
    <row r="2923" spans="8:8" ht="15">
      <c r="H2923" s="4"/>
    </row>
    <row r="2924" spans="8:8" ht="15">
      <c r="H2924" s="4"/>
    </row>
    <row r="2925" spans="8:8" ht="15">
      <c r="H2925" s="4"/>
    </row>
    <row r="2926" spans="8:8" ht="15">
      <c r="H2926" s="4"/>
    </row>
    <row r="2927" spans="8:8" ht="15">
      <c r="H2927" s="4"/>
    </row>
    <row r="2928" spans="8:8" ht="15">
      <c r="H2928" s="4"/>
    </row>
    <row r="2929" spans="8:8" ht="15">
      <c r="H2929" s="4"/>
    </row>
    <row r="2930" spans="8:8" ht="15">
      <c r="H2930" s="4"/>
    </row>
    <row r="2931" spans="8:8" ht="15">
      <c r="H2931" s="4"/>
    </row>
    <row r="2932" spans="8:8" ht="15">
      <c r="H2932" s="4"/>
    </row>
    <row r="2933" spans="8:8" ht="15">
      <c r="H2933" s="4"/>
    </row>
    <row r="2934" spans="8:8" ht="15">
      <c r="H2934" s="4"/>
    </row>
    <row r="2935" spans="8:8" ht="15">
      <c r="H2935" s="4"/>
    </row>
    <row r="2936" spans="8:8" ht="15">
      <c r="H2936" s="4"/>
    </row>
    <row r="2937" spans="8:8" ht="15">
      <c r="H2937" s="4"/>
    </row>
    <row r="2938" spans="8:8" ht="15">
      <c r="H2938" s="4"/>
    </row>
    <row r="2939" spans="8:8" ht="15">
      <c r="H2939" s="4"/>
    </row>
    <row r="2940" spans="8:8" ht="15">
      <c r="H2940" s="4"/>
    </row>
    <row r="2941" spans="8:8" ht="15">
      <c r="H2941" s="4"/>
    </row>
    <row r="2942" spans="8:8" ht="15">
      <c r="H2942" s="4"/>
    </row>
    <row r="2943" spans="8:8" ht="15">
      <c r="H2943" s="4"/>
    </row>
    <row r="2944" spans="8:8" ht="15">
      <c r="H2944" s="4"/>
    </row>
    <row r="2945" spans="8:8" ht="15">
      <c r="H2945" s="4"/>
    </row>
    <row r="2946" spans="8:8" ht="15">
      <c r="H2946" s="4"/>
    </row>
    <row r="2947" spans="8:8" ht="15">
      <c r="H2947" s="4"/>
    </row>
    <row r="2948" spans="8:8" ht="15">
      <c r="H2948" s="4"/>
    </row>
    <row r="2949" spans="8:8" ht="15">
      <c r="H2949" s="4"/>
    </row>
    <row r="2950" spans="8:8" ht="15">
      <c r="H2950" s="4"/>
    </row>
    <row r="2951" spans="8:8" ht="15">
      <c r="H2951" s="4"/>
    </row>
    <row r="2952" spans="8:8" ht="15">
      <c r="H2952" s="4"/>
    </row>
    <row r="2953" spans="8:8" ht="15">
      <c r="H2953" s="4"/>
    </row>
    <row r="2954" spans="8:8" ht="15">
      <c r="H2954" s="4"/>
    </row>
    <row r="2955" spans="8:8" ht="15">
      <c r="H2955" s="4"/>
    </row>
    <row r="2956" spans="8:8" ht="15">
      <c r="H2956" s="4"/>
    </row>
    <row r="2957" spans="8:8" ht="15">
      <c r="H2957" s="4"/>
    </row>
    <row r="2958" spans="8:8" ht="15">
      <c r="H2958" s="4"/>
    </row>
    <row r="2959" spans="8:8" ht="15">
      <c r="H2959" s="4"/>
    </row>
    <row r="2960" spans="8:8" ht="15">
      <c r="H2960" s="4"/>
    </row>
    <row r="2961" spans="8:8" ht="15">
      <c r="H2961" s="4"/>
    </row>
    <row r="2962" spans="8:8" ht="15">
      <c r="H2962" s="4"/>
    </row>
    <row r="2963" spans="8:8" ht="15">
      <c r="H2963" s="4"/>
    </row>
    <row r="2964" spans="8:8" ht="15">
      <c r="H2964" s="4"/>
    </row>
    <row r="2965" spans="8:8" ht="15">
      <c r="H2965" s="4"/>
    </row>
    <row r="2966" spans="8:8" ht="15">
      <c r="H2966" s="4"/>
    </row>
    <row r="2967" spans="8:8" ht="15">
      <c r="H2967" s="4"/>
    </row>
    <row r="2968" spans="8:8" ht="15">
      <c r="H2968" s="4"/>
    </row>
    <row r="2969" spans="8:8" ht="15">
      <c r="H2969" s="4"/>
    </row>
    <row r="2970" spans="8:8" ht="15">
      <c r="H2970" s="4"/>
    </row>
    <row r="2971" spans="8:8" ht="15">
      <c r="H2971" s="4"/>
    </row>
    <row r="2972" spans="8:8" ht="15">
      <c r="H2972" s="4"/>
    </row>
    <row r="2973" spans="8:8" ht="15">
      <c r="H2973" s="4"/>
    </row>
    <row r="2974" spans="8:8" ht="15">
      <c r="H2974" s="4"/>
    </row>
    <row r="2975" spans="8:8" ht="15">
      <c r="H2975" s="4"/>
    </row>
    <row r="2976" spans="8:8" ht="15">
      <c r="H2976" s="4"/>
    </row>
    <row r="2977" spans="8:8" ht="15">
      <c r="H2977" s="4"/>
    </row>
    <row r="2978" spans="8:8" ht="15">
      <c r="H2978" s="4"/>
    </row>
    <row r="2979" spans="8:8" ht="15">
      <c r="H2979" s="4"/>
    </row>
    <row r="2980" spans="8:8" ht="15">
      <c r="H2980" s="4"/>
    </row>
    <row r="2981" spans="8:8" ht="15">
      <c r="H2981" s="4"/>
    </row>
    <row r="2982" spans="8:8" ht="15">
      <c r="H2982" s="4"/>
    </row>
    <row r="2983" spans="8:8" ht="15">
      <c r="H2983" s="4"/>
    </row>
    <row r="2984" spans="8:8" ht="15">
      <c r="H2984" s="4"/>
    </row>
    <row r="2985" spans="8:8" ht="15">
      <c r="H2985" s="4"/>
    </row>
    <row r="2986" spans="8:8" ht="15">
      <c r="H2986" s="4"/>
    </row>
    <row r="2987" spans="8:8" ht="15">
      <c r="H2987" s="4"/>
    </row>
    <row r="2988" spans="8:8" ht="15">
      <c r="H2988" s="4"/>
    </row>
    <row r="2989" spans="8:8" ht="15">
      <c r="H2989" s="4"/>
    </row>
    <row r="2990" spans="8:8" ht="15">
      <c r="H2990" s="4"/>
    </row>
    <row r="2991" spans="8:8" ht="15">
      <c r="H2991" s="4"/>
    </row>
    <row r="2992" spans="8:8" ht="15">
      <c r="H2992" s="4"/>
    </row>
    <row r="2993" spans="8:8" ht="15">
      <c r="H2993" s="4"/>
    </row>
    <row r="2994" spans="8:8" ht="15">
      <c r="H2994" s="4"/>
    </row>
    <row r="2995" spans="8:8" ht="15">
      <c r="H2995" s="4"/>
    </row>
    <row r="2996" spans="8:8" ht="15">
      <c r="H2996" s="4"/>
    </row>
    <row r="2997" spans="8:8" ht="15">
      <c r="H2997" s="4"/>
    </row>
    <row r="2998" spans="8:8" ht="15">
      <c r="H2998" s="4"/>
    </row>
    <row r="2999" spans="8:8" ht="15">
      <c r="H2999" s="4"/>
    </row>
    <row r="3000" spans="8:8" ht="15">
      <c r="H3000" s="4"/>
    </row>
    <row r="3001" spans="8:8" ht="15">
      <c r="H3001" s="4"/>
    </row>
    <row r="3002" spans="8:8" ht="15">
      <c r="H3002" s="4"/>
    </row>
    <row r="3003" spans="8:8" ht="15">
      <c r="H3003" s="4"/>
    </row>
    <row r="3004" spans="8:8" ht="15">
      <c r="H3004" s="4"/>
    </row>
    <row r="3005" spans="8:8" ht="15">
      <c r="H3005" s="4"/>
    </row>
    <row r="3006" spans="8:8" ht="15">
      <c r="H3006" s="4"/>
    </row>
    <row r="3007" spans="8:8" ht="15">
      <c r="H3007" s="4"/>
    </row>
    <row r="3008" spans="8:8" ht="15">
      <c r="H3008" s="4"/>
    </row>
    <row r="3009" spans="8:8" ht="15">
      <c r="H3009" s="4"/>
    </row>
    <row r="3010" spans="8:8" ht="15">
      <c r="H3010" s="4"/>
    </row>
    <row r="3011" spans="8:8" ht="15">
      <c r="H3011" s="4"/>
    </row>
    <row r="3012" spans="8:8" ht="15">
      <c r="H3012" s="4"/>
    </row>
    <row r="3013" spans="8:8" ht="15">
      <c r="H3013" s="4"/>
    </row>
    <row r="3014" spans="8:8" ht="15">
      <c r="H3014" s="4"/>
    </row>
    <row r="3015" spans="8:8" ht="15">
      <c r="H3015" s="4"/>
    </row>
    <row r="3016" spans="8:8" ht="15">
      <c r="H3016" s="4"/>
    </row>
    <row r="3017" spans="8:8" ht="15">
      <c r="H3017" s="4"/>
    </row>
    <row r="3018" spans="8:8" ht="15">
      <c r="H3018" s="4"/>
    </row>
    <row r="3019" spans="8:8" ht="15">
      <c r="H3019" s="4"/>
    </row>
    <row r="3020" spans="8:8" ht="15">
      <c r="H3020" s="4"/>
    </row>
    <row r="3021" spans="8:8" ht="15">
      <c r="H3021" s="4"/>
    </row>
    <row r="3022" spans="8:8" ht="15">
      <c r="H3022" s="4"/>
    </row>
    <row r="3023" spans="8:8" ht="15">
      <c r="H3023" s="4"/>
    </row>
    <row r="3024" spans="8:8" ht="15">
      <c r="H3024" s="4"/>
    </row>
    <row r="3025" spans="8:8" ht="15">
      <c r="H3025" s="4"/>
    </row>
    <row r="3026" spans="8:8" ht="15">
      <c r="H3026" s="4"/>
    </row>
    <row r="3027" spans="8:8" ht="15">
      <c r="H3027" s="4"/>
    </row>
    <row r="3028" spans="8:8" ht="15">
      <c r="H3028" s="4"/>
    </row>
    <row r="3029" spans="8:8" ht="15">
      <c r="H3029" s="4"/>
    </row>
    <row r="3030" spans="8:8" ht="15">
      <c r="H3030" s="4"/>
    </row>
    <row r="3031" spans="8:8" ht="15">
      <c r="H3031" s="4"/>
    </row>
    <row r="3032" spans="8:8" ht="15">
      <c r="H3032" s="4"/>
    </row>
    <row r="3033" spans="8:8" ht="15">
      <c r="H3033" s="4"/>
    </row>
    <row r="3034" spans="8:8" ht="15">
      <c r="H3034" s="4"/>
    </row>
    <row r="3035" spans="8:8" ht="15">
      <c r="H3035" s="4"/>
    </row>
    <row r="3036" spans="8:8" ht="15">
      <c r="H3036" s="4"/>
    </row>
    <row r="3037" spans="8:8" ht="15">
      <c r="H3037" s="4"/>
    </row>
    <row r="3038" spans="8:8" ht="15">
      <c r="H3038" s="4"/>
    </row>
    <row r="3039" spans="8:8" ht="15">
      <c r="H3039" s="4"/>
    </row>
    <row r="3040" spans="8:8" ht="15">
      <c r="H3040" s="4"/>
    </row>
    <row r="3041" spans="8:8" ht="15">
      <c r="H3041" s="4"/>
    </row>
    <row r="3042" spans="8:8" ht="15">
      <c r="H3042" s="4"/>
    </row>
    <row r="3043" spans="8:8" ht="15">
      <c r="H3043" s="4"/>
    </row>
    <row r="3044" spans="8:8" ht="15">
      <c r="H3044" s="4"/>
    </row>
    <row r="3045" spans="8:8" ht="15">
      <c r="H3045" s="4"/>
    </row>
    <row r="3046" spans="8:8" ht="15">
      <c r="H3046" s="4"/>
    </row>
    <row r="3047" spans="8:8" ht="15">
      <c r="H3047" s="4"/>
    </row>
    <row r="3048" spans="8:8" ht="15">
      <c r="H3048" s="4"/>
    </row>
    <row r="3049" spans="8:8" ht="15">
      <c r="H3049" s="4"/>
    </row>
    <row r="3050" spans="8:8" ht="15">
      <c r="H3050" s="4"/>
    </row>
    <row r="3051" spans="8:8" ht="15">
      <c r="H3051" s="4"/>
    </row>
    <row r="3052" spans="8:8" ht="15">
      <c r="H3052" s="4"/>
    </row>
    <row r="3053" spans="8:8" ht="15">
      <c r="H3053" s="4"/>
    </row>
    <row r="3054" spans="8:8" ht="15">
      <c r="H3054" s="4"/>
    </row>
    <row r="3055" spans="8:8" ht="15">
      <c r="H3055" s="4"/>
    </row>
    <row r="3056" spans="8:8" ht="15">
      <c r="H3056" s="4"/>
    </row>
    <row r="3057" spans="8:8" ht="15">
      <c r="H3057" s="4"/>
    </row>
    <row r="3058" spans="8:8" ht="15">
      <c r="H3058" s="4"/>
    </row>
    <row r="3059" spans="8:8" ht="15">
      <c r="H3059" s="4"/>
    </row>
    <row r="3060" spans="8:8" ht="15">
      <c r="H3060" s="4"/>
    </row>
    <row r="3061" spans="8:8" ht="15">
      <c r="H3061" s="4"/>
    </row>
    <row r="3062" spans="8:8" ht="15">
      <c r="H3062" s="4"/>
    </row>
    <row r="3063" spans="8:8" ht="15">
      <c r="H3063" s="4"/>
    </row>
    <row r="3064" spans="8:8" ht="15">
      <c r="H3064" s="4"/>
    </row>
    <row r="3065" spans="8:8" ht="15">
      <c r="H3065" s="4"/>
    </row>
    <row r="3066" spans="8:8" ht="15">
      <c r="H3066" s="4"/>
    </row>
    <row r="3067" spans="8:8" ht="15">
      <c r="H3067" s="4"/>
    </row>
    <row r="3068" spans="8:8" ht="15">
      <c r="H3068" s="4"/>
    </row>
    <row r="3069" spans="8:8" ht="15">
      <c r="H3069" s="4"/>
    </row>
    <row r="3070" spans="8:8" ht="15">
      <c r="H3070" s="4"/>
    </row>
    <row r="3071" spans="8:8" ht="15">
      <c r="H3071" s="4"/>
    </row>
    <row r="3072" spans="8:8" ht="15">
      <c r="H3072" s="4"/>
    </row>
    <row r="3073" spans="8:8" ht="15">
      <c r="H3073" s="4"/>
    </row>
    <row r="3074" spans="8:8" ht="15">
      <c r="H3074" s="4"/>
    </row>
    <row r="3075" spans="8:8" ht="15">
      <c r="H3075" s="4"/>
    </row>
    <row r="3076" spans="8:8" ht="15">
      <c r="H3076" s="4"/>
    </row>
    <row r="3077" spans="8:8" ht="15">
      <c r="H3077" s="4"/>
    </row>
    <row r="3078" spans="8:8" ht="15">
      <c r="H3078" s="4"/>
    </row>
    <row r="3079" spans="8:8" ht="15">
      <c r="H3079" s="4"/>
    </row>
    <row r="3080" spans="8:8" ht="15">
      <c r="H3080" s="4"/>
    </row>
    <row r="3081" spans="8:8" ht="15">
      <c r="H3081" s="4"/>
    </row>
    <row r="3082" spans="8:8" ht="15">
      <c r="H3082" s="4"/>
    </row>
    <row r="3083" spans="8:8" ht="15">
      <c r="H3083" s="4"/>
    </row>
    <row r="3084" spans="8:8" ht="15">
      <c r="H3084" s="4"/>
    </row>
    <row r="3085" spans="8:8" ht="15">
      <c r="H3085" s="4"/>
    </row>
    <row r="3086" spans="8:8" ht="15">
      <c r="H3086" s="4"/>
    </row>
    <row r="3087" spans="8:8" ht="15">
      <c r="H3087" s="4"/>
    </row>
    <row r="3088" spans="8:8" ht="15">
      <c r="H3088" s="4"/>
    </row>
    <row r="3089" spans="8:8" ht="15">
      <c r="H3089" s="4"/>
    </row>
    <row r="3090" spans="8:8" ht="15">
      <c r="H3090" s="4"/>
    </row>
    <row r="3091" spans="8:8" ht="15">
      <c r="H3091" s="4"/>
    </row>
    <row r="3092" spans="8:8" ht="15">
      <c r="H3092" s="4"/>
    </row>
    <row r="3093" spans="8:8" ht="15">
      <c r="H3093" s="4"/>
    </row>
    <row r="3094" spans="8:8" ht="15">
      <c r="H3094" s="4"/>
    </row>
    <row r="3095" spans="8:8" ht="15">
      <c r="H3095" s="4"/>
    </row>
    <row r="3096" spans="8:8" ht="15">
      <c r="H3096" s="4"/>
    </row>
    <row r="3097" spans="8:8" ht="15">
      <c r="H3097" s="4"/>
    </row>
    <row r="3098" spans="8:8" ht="15">
      <c r="H3098" s="4"/>
    </row>
    <row r="3099" spans="8:8" ht="15">
      <c r="H3099" s="4"/>
    </row>
    <row r="3100" spans="8:8" ht="15">
      <c r="H3100" s="4"/>
    </row>
    <row r="3101" spans="8:8" ht="15">
      <c r="H3101" s="4"/>
    </row>
    <row r="3102" spans="8:8" ht="15">
      <c r="H3102" s="4"/>
    </row>
    <row r="3103" spans="8:8" ht="15">
      <c r="H3103" s="4"/>
    </row>
    <row r="3104" spans="8:8" ht="15">
      <c r="H3104" s="4"/>
    </row>
    <row r="3105" spans="8:8" ht="15">
      <c r="H3105" s="4"/>
    </row>
    <row r="3106" spans="8:8" ht="15">
      <c r="H3106" s="4"/>
    </row>
    <row r="3107" spans="8:8" ht="15">
      <c r="H3107" s="4"/>
    </row>
    <row r="3108" spans="8:8" ht="15">
      <c r="H3108" s="4"/>
    </row>
    <row r="3109" spans="8:8" ht="15">
      <c r="H3109" s="4"/>
    </row>
    <row r="3110" spans="8:8" ht="15">
      <c r="H3110" s="4"/>
    </row>
    <row r="3111" spans="8:8" ht="15">
      <c r="H3111" s="4"/>
    </row>
    <row r="3112" spans="8:8" ht="15">
      <c r="H3112" s="4"/>
    </row>
    <row r="3113" spans="8:8" ht="15">
      <c r="H3113" s="4"/>
    </row>
    <row r="3114" spans="8:8" ht="15">
      <c r="H3114" s="4"/>
    </row>
    <row r="3115" spans="8:8" ht="15">
      <c r="H3115" s="4"/>
    </row>
    <row r="3116" spans="8:8" ht="15">
      <c r="H3116" s="4"/>
    </row>
    <row r="3117" spans="8:8" ht="15">
      <c r="H3117" s="4"/>
    </row>
    <row r="3118" spans="8:8" ht="15">
      <c r="H3118" s="4"/>
    </row>
    <row r="3119" spans="8:8" ht="15">
      <c r="H3119" s="4"/>
    </row>
    <row r="3120" spans="8:8" ht="15">
      <c r="H3120" s="4"/>
    </row>
    <row r="3121" spans="8:8" ht="15">
      <c r="H3121" s="4"/>
    </row>
    <row r="3122" spans="8:8" ht="15">
      <c r="H3122" s="4"/>
    </row>
    <row r="3123" spans="8:8" ht="15">
      <c r="H3123" s="4"/>
    </row>
    <row r="3124" spans="8:8" ht="15">
      <c r="H3124" s="4"/>
    </row>
    <row r="3125" spans="8:8" ht="15">
      <c r="H3125" s="4"/>
    </row>
    <row r="3126" spans="8:8" ht="15">
      <c r="H3126" s="4"/>
    </row>
    <row r="3127" spans="8:8" ht="15">
      <c r="H3127" s="4"/>
    </row>
    <row r="3128" spans="8:8" ht="15">
      <c r="H3128" s="4"/>
    </row>
    <row r="3129" spans="8:8" ht="15">
      <c r="H3129" s="4"/>
    </row>
    <row r="3130" spans="8:8" ht="15">
      <c r="H3130" s="4"/>
    </row>
    <row r="3131" spans="8:8" ht="15">
      <c r="H3131" s="4"/>
    </row>
    <row r="3132" spans="8:8" ht="15">
      <c r="H3132" s="4"/>
    </row>
    <row r="3133" spans="8:8" ht="15">
      <c r="H3133" s="4"/>
    </row>
    <row r="3134" spans="8:8" ht="15">
      <c r="H3134" s="4"/>
    </row>
    <row r="3135" spans="8:8" ht="15">
      <c r="H3135" s="4"/>
    </row>
    <row r="3136" spans="8:8" ht="15">
      <c r="H3136" s="4"/>
    </row>
    <row r="3137" spans="8:8" ht="15">
      <c r="H3137" s="4"/>
    </row>
    <row r="3138" spans="8:8" ht="15">
      <c r="H3138" s="4"/>
    </row>
    <row r="3139" spans="8:8" ht="15">
      <c r="H3139" s="4"/>
    </row>
    <row r="3140" spans="8:8" ht="15">
      <c r="H3140" s="4"/>
    </row>
    <row r="3141" spans="8:8" ht="15">
      <c r="H3141" s="4"/>
    </row>
    <row r="3142" spans="8:8" ht="15">
      <c r="H3142" s="4"/>
    </row>
    <row r="3143" spans="8:8" ht="15">
      <c r="H3143" s="4"/>
    </row>
    <row r="3144" spans="8:8" ht="15">
      <c r="H3144" s="4"/>
    </row>
    <row r="3145" spans="8:8" ht="15">
      <c r="H3145" s="4"/>
    </row>
    <row r="3146" spans="8:8" ht="15">
      <c r="H3146" s="4"/>
    </row>
    <row r="3147" spans="8:8" ht="15">
      <c r="H3147" s="4"/>
    </row>
    <row r="3148" spans="8:8" ht="15">
      <c r="H3148" s="4"/>
    </row>
    <row r="3149" spans="8:8" ht="15">
      <c r="H3149" s="4"/>
    </row>
    <row r="3150" spans="8:8" ht="15">
      <c r="H3150" s="4"/>
    </row>
    <row r="3151" spans="8:8" ht="15">
      <c r="H3151" s="4"/>
    </row>
    <row r="3152" spans="8:8" ht="15">
      <c r="H3152" s="4"/>
    </row>
    <row r="3153" spans="8:8" ht="15">
      <c r="H3153" s="4"/>
    </row>
    <row r="3154" spans="8:8" ht="15">
      <c r="H3154" s="4"/>
    </row>
    <row r="3155" spans="8:8" ht="15">
      <c r="H3155" s="4"/>
    </row>
    <row r="3156" spans="8:8" ht="15">
      <c r="H3156" s="4"/>
    </row>
    <row r="3157" spans="8:8" ht="15">
      <c r="H3157" s="4"/>
    </row>
    <row r="3158" spans="8:8" ht="15">
      <c r="H3158" s="4"/>
    </row>
    <row r="3159" spans="8:8" ht="15">
      <c r="H3159" s="4"/>
    </row>
    <row r="3160" spans="8:8" ht="15">
      <c r="H3160" s="4"/>
    </row>
    <row r="3161" spans="8:8" ht="15">
      <c r="H3161" s="4"/>
    </row>
    <row r="3162" spans="8:8" ht="15">
      <c r="H3162" s="4"/>
    </row>
    <row r="3163" spans="8:8" ht="15">
      <c r="H3163" s="4"/>
    </row>
    <row r="3164" spans="8:8" ht="15">
      <c r="H3164" s="4"/>
    </row>
    <row r="3165" spans="8:8" ht="15">
      <c r="H3165" s="4"/>
    </row>
    <row r="3166" spans="8:8" ht="15">
      <c r="H3166" s="4"/>
    </row>
    <row r="3167" spans="8:8" ht="15">
      <c r="H3167" s="4"/>
    </row>
    <row r="3168" spans="8:8" ht="15">
      <c r="H3168" s="4"/>
    </row>
    <row r="3169" spans="8:8" ht="15">
      <c r="H3169" s="4"/>
    </row>
    <row r="3170" spans="8:8" ht="15">
      <c r="H3170" s="4"/>
    </row>
    <row r="3171" spans="8:8" ht="15">
      <c r="H3171" s="4"/>
    </row>
    <row r="3172" spans="8:8" ht="15">
      <c r="H3172" s="4"/>
    </row>
    <row r="3173" spans="8:8" ht="15">
      <c r="H3173" s="4"/>
    </row>
    <row r="3174" spans="8:8" ht="15">
      <c r="H3174" s="4"/>
    </row>
    <row r="3175" spans="8:8" ht="15">
      <c r="H3175" s="4"/>
    </row>
    <row r="3176" spans="8:8" ht="15">
      <c r="H3176" s="4"/>
    </row>
    <row r="3177" spans="8:8" ht="15">
      <c r="H3177" s="4"/>
    </row>
    <row r="3178" spans="8:8" ht="15">
      <c r="H3178" s="4"/>
    </row>
    <row r="3179" spans="8:8" ht="15">
      <c r="H3179" s="4"/>
    </row>
    <row r="3180" spans="8:8" ht="15">
      <c r="H3180" s="4"/>
    </row>
    <row r="3181" spans="8:8" ht="15">
      <c r="H3181" s="4"/>
    </row>
    <row r="3182" spans="8:8" ht="15">
      <c r="H3182" s="4"/>
    </row>
    <row r="3183" spans="8:8" ht="15">
      <c r="H3183" s="4"/>
    </row>
    <row r="3184" spans="8:8" ht="15">
      <c r="H3184" s="4"/>
    </row>
    <row r="3185" spans="8:8" ht="15">
      <c r="H3185" s="4"/>
    </row>
    <row r="3186" spans="8:8" ht="15">
      <c r="H3186" s="4"/>
    </row>
    <row r="3187" spans="8:8" ht="15">
      <c r="H3187" s="4"/>
    </row>
    <row r="3188" spans="8:8" ht="15">
      <c r="H3188" s="4"/>
    </row>
    <row r="3189" spans="8:8" ht="15">
      <c r="H3189" s="4"/>
    </row>
    <row r="3190" spans="8:8" ht="15">
      <c r="H3190" s="4"/>
    </row>
    <row r="3191" spans="8:8" ht="15">
      <c r="H3191" s="4"/>
    </row>
    <row r="3192" spans="8:8" ht="15">
      <c r="H3192" s="4"/>
    </row>
    <row r="3193" spans="8:8" ht="15">
      <c r="H3193" s="4"/>
    </row>
    <row r="3194" spans="8:8" ht="15">
      <c r="H3194" s="4"/>
    </row>
  </sheetData>
  <pageMargins left="0.7" right="0.7" top="0.75" bottom="0.75" header="0.3" footer="0.3"/>
  <pageSetup orientation="portrait" r:id="rId1"/>
  <ignoredErrors>
    <ignoredError sqref="X119:X124" calculatedColumn="1"/>
    <ignoredError sqref="L164" formulaRange="1"/>
  </ignoredErrors>
  <drawing r:id="rId2"/>
  <tableParts count="4">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6D396E-051F-4512-9EC2-9A12388098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 Futures Historical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Apostolos Kefalos</dc:creator>
  <cp:lastModifiedBy>Apostolos Kefalos</cp:lastModifiedBy>
  <dcterms:created xsi:type="dcterms:W3CDTF">2025-12-07T22:37:14Z</dcterms:created>
  <dcterms:modified xsi:type="dcterms:W3CDTF">2026-01-07T22:16:59Z</dcterms:modified>
</cp:coreProperties>
</file>